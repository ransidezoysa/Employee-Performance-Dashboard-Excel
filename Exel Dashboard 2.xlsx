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ASUS\Documents\my projects\"/>
    </mc:Choice>
  </mc:AlternateContent>
  <xr:revisionPtr revIDLastSave="0" documentId="13_ncr:1_{8B79E810-2EB6-410E-98DF-D278A9C2DCBE}" xr6:coauthVersionLast="36" xr6:coauthVersionMax="47" xr10:uidLastSave="{00000000-0000-0000-0000-000000000000}"/>
  <bookViews>
    <workbookView showHorizontalScroll="0" showVerticalScroll="0" showSheetTabs="0" xWindow="-108" yWindow="-108" windowWidth="23256" windowHeight="12456" xr2:uid="{2441546F-0E30-42C6-A918-FFE81DA238D1}"/>
  </bookViews>
  <sheets>
    <sheet name="Dashboard" sheetId="2" r:id="rId1"/>
    <sheet name="Pivot Table" sheetId="3" r:id="rId2"/>
    <sheet name="Data" sheetId="1" r:id="rId3"/>
  </sheets>
  <definedNames>
    <definedName name="_xlnm._FilterDatabase" localSheetId="2" hidden="1">Data!$A$1:$R$90</definedName>
    <definedName name="_xlchart.v5.0" hidden="1">'Pivot Table'!$K$30</definedName>
    <definedName name="_xlchart.v5.1" hidden="1">'Pivot Table'!$K$31:$K$34</definedName>
    <definedName name="_xlchart.v5.2" hidden="1">'Pivot Table'!$L$30</definedName>
    <definedName name="_xlchart.v5.3" hidden="1">'Pivot Table'!$L$31:$L$34</definedName>
    <definedName name="Slicer_Department">#N/A</definedName>
    <definedName name="Slicer_Performance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3" l="1"/>
  <c r="L34" i="3"/>
  <c r="L33" i="3"/>
  <c r="B7" i="3"/>
  <c r="B6" i="3"/>
  <c r="L32" i="3"/>
  <c r="L31" i="3"/>
  <c r="B5" i="3"/>
  <c r="B8" i="3"/>
</calcChain>
</file>

<file path=xl/sharedStrings.xml><?xml version="1.0" encoding="utf-8"?>
<sst xmlns="http://schemas.openxmlformats.org/spreadsheetml/2006/main" count="720" uniqueCount="97">
  <si>
    <t>Date</t>
  </si>
  <si>
    <t>Month</t>
  </si>
  <si>
    <t>Emp ID</t>
  </si>
  <si>
    <t>Employee Name</t>
  </si>
  <si>
    <t>Department</t>
  </si>
  <si>
    <t>Region</t>
  </si>
  <si>
    <t>Working Days</t>
  </si>
  <si>
    <t>Attendance Status</t>
  </si>
  <si>
    <t>Target Tasks</t>
  </si>
  <si>
    <t>Completed Tasks</t>
  </si>
  <si>
    <t>Pending Tasks</t>
  </si>
  <si>
    <t>Target Hours</t>
  </si>
  <si>
    <t>Actual Hours</t>
  </si>
  <si>
    <t>Overtime Hours</t>
  </si>
  <si>
    <t>Productivity %</t>
  </si>
  <si>
    <t>Quality Score %</t>
  </si>
  <si>
    <t>Achievement %</t>
  </si>
  <si>
    <t>Performance Status</t>
  </si>
  <si>
    <t>Jan</t>
  </si>
  <si>
    <t>EMP001</t>
  </si>
  <si>
    <t>James Smith</t>
  </si>
  <si>
    <t>Sales</t>
  </si>
  <si>
    <t>California</t>
  </si>
  <si>
    <t>Present</t>
  </si>
  <si>
    <t>High Performer</t>
  </si>
  <si>
    <t>EMP002</t>
  </si>
  <si>
    <t>Mary Johnson</t>
  </si>
  <si>
    <t>Texas</t>
  </si>
  <si>
    <t>Leave</t>
  </si>
  <si>
    <t>EMP003</t>
  </si>
  <si>
    <t>Robert Williams</t>
  </si>
  <si>
    <t>Marketing</t>
  </si>
  <si>
    <t>Florida</t>
  </si>
  <si>
    <t>EMP004</t>
  </si>
  <si>
    <t>Jennifer Brown</t>
  </si>
  <si>
    <t>EMP005</t>
  </si>
  <si>
    <t>Michael Jones</t>
  </si>
  <si>
    <t>Finance</t>
  </si>
  <si>
    <t>New York</t>
  </si>
  <si>
    <t>EMP006</t>
  </si>
  <si>
    <t>Linda Garcia</t>
  </si>
  <si>
    <t>EMP007</t>
  </si>
  <si>
    <t>David Miller</t>
  </si>
  <si>
    <t>HR</t>
  </si>
  <si>
    <t>EMP008</t>
  </si>
  <si>
    <t>Sarah Davis</t>
  </si>
  <si>
    <t>Work From Home</t>
  </si>
  <si>
    <t>EMP009</t>
  </si>
  <si>
    <t>John Rodriguez</t>
  </si>
  <si>
    <t>Operations</t>
  </si>
  <si>
    <t>On Track</t>
  </si>
  <si>
    <t>EMP010</t>
  </si>
  <si>
    <t>Emily Martinez</t>
  </si>
  <si>
    <t>EMP012</t>
  </si>
  <si>
    <t>Jessica Lopez</t>
  </si>
  <si>
    <t>IT</t>
  </si>
  <si>
    <t>EMP013</t>
  </si>
  <si>
    <t>Christopher Wilson</t>
  </si>
  <si>
    <t>EMP014</t>
  </si>
  <si>
    <t>Amanda Anderson</t>
  </si>
  <si>
    <t>EMP015</t>
  </si>
  <si>
    <t>Matthew Taylor</t>
  </si>
  <si>
    <t>EMP016</t>
  </si>
  <si>
    <t>Ashley Thomas</t>
  </si>
  <si>
    <t>Feb</t>
  </si>
  <si>
    <t>EMP017</t>
  </si>
  <si>
    <t>Andrew Moore</t>
  </si>
  <si>
    <t>EMP018</t>
  </si>
  <si>
    <t>Olivia Jackson</t>
  </si>
  <si>
    <t>EMP020</t>
  </si>
  <si>
    <t>Sophia Lee</t>
  </si>
  <si>
    <t>Mar</t>
  </si>
  <si>
    <t>EMP011</t>
  </si>
  <si>
    <t>Daniel Hernandez</t>
  </si>
  <si>
    <t>Needs Improvement</t>
  </si>
  <si>
    <t>Apr</t>
  </si>
  <si>
    <t>EMP019</t>
  </si>
  <si>
    <t>Joshua Martin</t>
  </si>
  <si>
    <t>May</t>
  </si>
  <si>
    <t>Jun</t>
  </si>
  <si>
    <t>Jul</t>
  </si>
  <si>
    <t>Average of Achievement %</t>
  </si>
  <si>
    <t>Grand Total</t>
  </si>
  <si>
    <t>Average of Productivity %</t>
  </si>
  <si>
    <t>Sum of Completed Tasks</t>
  </si>
  <si>
    <t>Sum of Pending Tasks</t>
  </si>
  <si>
    <t>Average of Quality Score %</t>
  </si>
  <si>
    <t>Count of Emp ID</t>
  </si>
  <si>
    <t>State</t>
  </si>
  <si>
    <t>KPI</t>
  </si>
  <si>
    <t>Value</t>
  </si>
  <si>
    <t>Avg Productivity %</t>
  </si>
  <si>
    <t>Avg Achievment %</t>
  </si>
  <si>
    <t>Total Completed Task</t>
  </si>
  <si>
    <t>Total Employee</t>
  </si>
  <si>
    <t>Avg Quality Score %</t>
  </si>
  <si>
    <t>Attendence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</si>
</sst>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7">
    <font>
      <sz val="11"/>
      <color theme="1"/>
      <name val="Aptos Narrow"/>
      <family val="2"/>
      <scheme val="minor"/>
    </font>
    <font>
      <b/>
      <sz val="11"/>
      <color rgb="FFFFFFFF"/>
      <name val="Calibri"/>
      <family val="2"/>
    </font>
    <font>
      <b/>
      <sz val="11"/>
      <color rgb="FFFFFFFF"/>
      <name val="Calibri"/>
      <family val="2"/>
    </font>
    <font>
      <sz val="11"/>
      <color rgb="FF000000"/>
      <name val="Calibri"/>
      <family val="2"/>
    </font>
    <font>
      <sz val="11"/>
      <color theme="1"/>
      <name val="Aptos Narrow"/>
      <family val="2"/>
      <scheme val="minor"/>
    </font>
    <font>
      <sz val="11"/>
      <color rgb="FF000000"/>
      <name val="Aptos Narrow"/>
      <family val="2"/>
      <scheme val="minor"/>
    </font>
    <font>
      <sz val="11"/>
      <color rgb="FF000000"/>
      <name val="Aptos Narrow"/>
      <charset val="1"/>
      <scheme val="minor"/>
    </font>
  </fonts>
  <fills count="3">
    <fill>
      <patternFill patternType="none"/>
    </fill>
    <fill>
      <patternFill patternType="gray125"/>
    </fill>
    <fill>
      <patternFill patternType="solid">
        <fgColor rgb="FF1F4E78"/>
        <bgColor rgb="FF000000"/>
      </patternFill>
    </fill>
  </fills>
  <borders count="5">
    <border>
      <left/>
      <right/>
      <top/>
      <bottom/>
      <diagonal/>
    </border>
    <border>
      <left/>
      <right/>
      <top/>
      <bottom style="thin">
        <color rgb="FFD9E2F3"/>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22">
    <xf numFmtId="0" fontId="0" fillId="0" borderId="0" xfId="0"/>
    <xf numFmtId="15" fontId="3" fillId="0" borderId="1" xfId="0" applyNumberFormat="1" applyFont="1" applyBorder="1"/>
    <xf numFmtId="0" fontId="3" fillId="0" borderId="1" xfId="0" applyFont="1" applyBorder="1"/>
    <xf numFmtId="10" fontId="3" fillId="0" borderId="1" xfId="0" applyNumberFormat="1" applyFont="1" applyBorder="1"/>
    <xf numFmtId="15" fontId="3" fillId="0" borderId="0" xfId="0" applyNumberFormat="1" applyFont="1" applyBorder="1"/>
    <xf numFmtId="0" fontId="3" fillId="0" borderId="0" xfId="0" applyFont="1" applyBorder="1"/>
    <xf numFmtId="10" fontId="3" fillId="0" borderId="0" xfId="0" applyNumberFormat="1" applyFont="1" applyBorder="1"/>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0" borderId="2" xfId="0" applyFont="1" applyBorder="1"/>
    <xf numFmtId="0" fontId="5" fillId="0" borderId="3" xfId="0" applyFont="1" applyBorder="1"/>
    <xf numFmtId="0" fontId="6" fillId="0" borderId="2" xfId="0" applyFont="1" applyBorder="1"/>
    <xf numFmtId="164" fontId="5" fillId="0" borderId="3" xfId="0" applyNumberFormat="1" applyFont="1" applyBorder="1"/>
    <xf numFmtId="0" fontId="5" fillId="0" borderId="3" xfId="1" applyNumberFormat="1" applyFont="1" applyBorder="1"/>
    <xf numFmtId="0" fontId="0" fillId="0" borderId="0" xfId="0" pivotButton="1"/>
    <xf numFmtId="0" fontId="0" fillId="0" borderId="0" xfId="0" applyAlignment="1">
      <alignment horizontal="left"/>
    </xf>
    <xf numFmtId="0" fontId="0" fillId="0" borderId="0" xfId="0" applyNumberFormat="1"/>
    <xf numFmtId="9" fontId="0" fillId="0" borderId="0" xfId="0" pivotButton="1" applyNumberFormat="1"/>
    <xf numFmtId="164" fontId="0" fillId="0" borderId="0" xfId="0" applyNumberFormat="1"/>
    <xf numFmtId="164" fontId="5" fillId="0" borderId="4" xfId="0" applyNumberFormat="1" applyFont="1" applyBorder="1"/>
    <xf numFmtId="0" fontId="5" fillId="0" borderId="4" xfId="0" applyFont="1" applyBorder="1"/>
    <xf numFmtId="0" fontId="0" fillId="0" borderId="4" xfId="0" applyBorder="1" applyAlignment="1">
      <alignment horizontal="left"/>
    </xf>
  </cellXfs>
  <cellStyles count="2">
    <cellStyle name="Currency" xfId="1" builtinId="4"/>
    <cellStyle name="Normal" xfId="0" builtinId="0"/>
  </cellStyles>
  <dxfs count="37">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20" formatCode="dd\-mmm\-yy"/>
      <border diagonalUp="0" diagonalDown="0">
        <left/>
        <right/>
        <top/>
        <bottom style="thin">
          <color rgb="FFD9E2F3"/>
        </bottom>
        <vertical/>
        <horizontal/>
      </border>
    </dxf>
    <dxf>
      <border outline="0">
        <top style="thin">
          <color indexed="64"/>
        </top>
        <bottom style="thin">
          <color rgb="FFD9E2F3"/>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scheme val="none"/>
      </font>
      <fill>
        <patternFill patternType="solid">
          <fgColor rgb="FF000000"/>
          <bgColor rgb="FF1F4E78"/>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13" formatCode="0%"/>
    </dxf>
    <dxf>
      <numFmt numFmtId="0" formatCode="General"/>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0" formatCode="General"/>
    </dxf>
    <dxf>
      <numFmt numFmtId="13" formatCode="0%"/>
    </dxf>
    <dxf>
      <numFmt numFmtId="164"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[Exel Dashboard 2.xlsx]Pivot Table!PivotTable17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Avg. Achievement</a:t>
            </a:r>
            <a:r>
              <a:rPr lang="en-US" sz="1600" b="1" baseline="0">
                <a:solidFill>
                  <a:schemeClr val="tx1">
                    <a:lumMod val="85000"/>
                    <a:lumOff val="15000"/>
                  </a:schemeClr>
                </a:solidFill>
              </a:rPr>
              <a:t> by Department</a:t>
            </a:r>
            <a:endParaRPr lang="en-US" sz="1600" b="1">
              <a:solidFill>
                <a:schemeClr val="tx1">
                  <a:lumMod val="85000"/>
                  <a:lumOff val="15000"/>
                </a:schemeClr>
              </a:solidFill>
            </a:endParaRPr>
          </a:p>
        </c:rich>
      </c:tx>
      <c:layout>
        <c:manualLayout>
          <c:xMode val="edge"/>
          <c:yMode val="edge"/>
          <c:x val="0.14164959933589968"/>
          <c:y val="1.9206263010227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Finance</c:v>
                </c:pt>
                <c:pt idx="1">
                  <c:v>HR</c:v>
                </c:pt>
                <c:pt idx="2">
                  <c:v>IT</c:v>
                </c:pt>
                <c:pt idx="3">
                  <c:v>Marketing</c:v>
                </c:pt>
                <c:pt idx="4">
                  <c:v>Operations</c:v>
                </c:pt>
                <c:pt idx="5">
                  <c:v>Sales</c:v>
                </c:pt>
              </c:strCache>
            </c:strRef>
          </c:cat>
          <c:val>
            <c:numRef>
              <c:f>'Pivot Table'!$E$4:$E$10</c:f>
              <c:numCache>
                <c:formatCode>0.0%</c:formatCode>
                <c:ptCount val="6"/>
                <c:pt idx="0">
                  <c:v>0.92128571428571437</c:v>
                </c:pt>
                <c:pt idx="1">
                  <c:v>0.90971428571428581</c:v>
                </c:pt>
                <c:pt idx="2">
                  <c:v>0.90069230769230768</c:v>
                </c:pt>
                <c:pt idx="3">
                  <c:v>0.87405555555555559</c:v>
                </c:pt>
                <c:pt idx="4">
                  <c:v>0.89715384615384608</c:v>
                </c:pt>
                <c:pt idx="5">
                  <c:v>0.93629411764705872</c:v>
                </c:pt>
              </c:numCache>
            </c:numRef>
          </c:val>
          <c:extLst>
            <c:ext xmlns:c16="http://schemas.microsoft.com/office/drawing/2014/chart" uri="{C3380CC4-5D6E-409C-BE32-E72D297353CC}">
              <c16:uniqueId val="{00000000-85B8-4716-A993-3C6F3C08F9F0}"/>
            </c:ext>
          </c:extLst>
        </c:ser>
        <c:dLbls>
          <c:showLegendKey val="0"/>
          <c:showVal val="0"/>
          <c:showCatName val="0"/>
          <c:showSerName val="0"/>
          <c:showPercent val="0"/>
          <c:showBubbleSize val="0"/>
        </c:dLbls>
        <c:gapWidth val="219"/>
        <c:overlap val="-27"/>
        <c:axId val="853050255"/>
        <c:axId val="794477839"/>
      </c:barChart>
      <c:catAx>
        <c:axId val="8530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477839"/>
        <c:crosses val="autoZero"/>
        <c:auto val="1"/>
        <c:lblAlgn val="ctr"/>
        <c:lblOffset val="100"/>
        <c:noMultiLvlLbl val="0"/>
      </c:catAx>
      <c:valAx>
        <c:axId val="7944778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5025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[Exel Dashboard 2.xlsx]Pivot Table!PivotTable19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Avg. Productivity by Department</a:t>
            </a:r>
          </a:p>
        </c:rich>
      </c:tx>
      <c:layout>
        <c:manualLayout>
          <c:xMode val="edge"/>
          <c:yMode val="edge"/>
          <c:x val="0.13485486734829571"/>
          <c:y val="1.7857151226636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pivotFmt>
      <c:pivotFmt>
        <c:idx val="1"/>
        <c:spPr>
          <a:solidFill>
            <a:schemeClr val="accent3"/>
          </a:solidFill>
          <a:ln w="19050">
            <a:solidFill>
              <a:schemeClr val="lt1"/>
            </a:solidFill>
          </a:ln>
          <a:effectLst/>
        </c:spPr>
        <c:marker>
          <c:symbol val="none"/>
        </c:marke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s>
    <c:plotArea>
      <c:layout>
        <c:manualLayout>
          <c:layoutTarget val="inner"/>
          <c:xMode val="edge"/>
          <c:yMode val="edge"/>
          <c:x val="0.15619426870522141"/>
          <c:y val="0.15791674068088712"/>
          <c:w val="0.44111873633269899"/>
          <c:h val="0.79446418938141605"/>
        </c:manualLayout>
      </c:layout>
      <c:doughnutChart>
        <c:varyColors val="1"/>
        <c:ser>
          <c:idx val="0"/>
          <c:order val="0"/>
          <c:tx>
            <c:strRef>
              <c:f>'Pivot Table'!$H$3</c:f>
              <c:strCache>
                <c:ptCount val="1"/>
                <c:pt idx="0">
                  <c:v>Total</c:v>
                </c:pt>
              </c:strCache>
            </c:strRef>
          </c:tx>
          <c:explosion val="4"/>
          <c:dPt>
            <c:idx val="0"/>
            <c:bubble3D val="0"/>
            <c:spPr>
              <a:solidFill>
                <a:schemeClr val="accent3">
                  <a:shade val="50000"/>
                </a:schemeClr>
              </a:solidFill>
              <a:ln w="19050">
                <a:solidFill>
                  <a:schemeClr val="lt1"/>
                </a:solidFill>
              </a:ln>
              <a:effectLst/>
            </c:spPr>
            <c:extLst>
              <c:ext xmlns:c16="http://schemas.microsoft.com/office/drawing/2014/chart" uri="{C3380CC4-5D6E-409C-BE32-E72D297353CC}">
                <c16:uniqueId val="{00000001-D803-44E6-BD33-BF78068B7791}"/>
              </c:ext>
            </c:extLst>
          </c:dPt>
          <c:dPt>
            <c:idx val="1"/>
            <c:bubble3D val="0"/>
            <c:spPr>
              <a:solidFill>
                <a:schemeClr val="accent3">
                  <a:shade val="70000"/>
                </a:schemeClr>
              </a:solidFill>
              <a:ln w="19050">
                <a:solidFill>
                  <a:schemeClr val="lt1"/>
                </a:solidFill>
              </a:ln>
              <a:effectLst/>
            </c:spPr>
            <c:extLst>
              <c:ext xmlns:c16="http://schemas.microsoft.com/office/drawing/2014/chart" uri="{C3380CC4-5D6E-409C-BE32-E72D297353CC}">
                <c16:uniqueId val="{00000003-D803-44E6-BD33-BF78068B7791}"/>
              </c:ext>
            </c:extLst>
          </c:dPt>
          <c:dPt>
            <c:idx val="2"/>
            <c:bubble3D val="0"/>
            <c:spPr>
              <a:solidFill>
                <a:schemeClr val="accent3">
                  <a:shade val="90000"/>
                </a:schemeClr>
              </a:solidFill>
              <a:ln w="19050">
                <a:solidFill>
                  <a:schemeClr val="lt1"/>
                </a:solidFill>
              </a:ln>
              <a:effectLst/>
            </c:spPr>
            <c:extLst>
              <c:ext xmlns:c16="http://schemas.microsoft.com/office/drawing/2014/chart" uri="{C3380CC4-5D6E-409C-BE32-E72D297353CC}">
                <c16:uniqueId val="{00000005-D803-44E6-BD33-BF78068B7791}"/>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D803-44E6-BD33-BF78068B7791}"/>
              </c:ext>
            </c:extLst>
          </c:dPt>
          <c:dPt>
            <c:idx val="4"/>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09-D803-44E6-BD33-BF78068B7791}"/>
              </c:ext>
            </c:extLst>
          </c:dPt>
          <c:dPt>
            <c:idx val="5"/>
            <c:bubble3D val="0"/>
            <c:spPr>
              <a:solidFill>
                <a:schemeClr val="accent3">
                  <a:tint val="50000"/>
                </a:schemeClr>
              </a:solidFill>
              <a:ln w="19050">
                <a:solidFill>
                  <a:schemeClr val="lt1"/>
                </a:solidFill>
              </a:ln>
              <a:effectLst/>
            </c:spPr>
            <c:extLst>
              <c:ext xmlns:c16="http://schemas.microsoft.com/office/drawing/2014/chart" uri="{C3380CC4-5D6E-409C-BE32-E72D297353CC}">
                <c16:uniqueId val="{0000000B-D803-44E6-BD33-BF78068B77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Table'!$G$4:$G$10</c:f>
              <c:strCache>
                <c:ptCount val="6"/>
                <c:pt idx="0">
                  <c:v>Finance</c:v>
                </c:pt>
                <c:pt idx="1">
                  <c:v>HR</c:v>
                </c:pt>
                <c:pt idx="2">
                  <c:v>IT</c:v>
                </c:pt>
                <c:pt idx="3">
                  <c:v>Marketing</c:v>
                </c:pt>
                <c:pt idx="4">
                  <c:v>Operations</c:v>
                </c:pt>
                <c:pt idx="5">
                  <c:v>Sales</c:v>
                </c:pt>
              </c:strCache>
            </c:strRef>
          </c:cat>
          <c:val>
            <c:numRef>
              <c:f>'Pivot Table'!$H$4:$H$10</c:f>
              <c:numCache>
                <c:formatCode>0.0%</c:formatCode>
                <c:ptCount val="6"/>
                <c:pt idx="0">
                  <c:v>0.92964285714285733</c:v>
                </c:pt>
                <c:pt idx="1">
                  <c:v>0.91899999999999993</c:v>
                </c:pt>
                <c:pt idx="2">
                  <c:v>0.91823076923076929</c:v>
                </c:pt>
                <c:pt idx="3">
                  <c:v>0.89044444444444459</c:v>
                </c:pt>
                <c:pt idx="4">
                  <c:v>0.90399999999999991</c:v>
                </c:pt>
                <c:pt idx="5">
                  <c:v>0.95035294117647051</c:v>
                </c:pt>
              </c:numCache>
            </c:numRef>
          </c:val>
          <c:extLst>
            <c:ext xmlns:c16="http://schemas.microsoft.com/office/drawing/2014/chart" uri="{C3380CC4-5D6E-409C-BE32-E72D297353CC}">
              <c16:uniqueId val="{0000000C-D803-44E6-BD33-BF78068B7791}"/>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0723720592288097"/>
          <c:y val="0.24785491556754574"/>
          <c:w val="0.22335769234672781"/>
          <c:h val="0.668159293288007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[Exel Dashboard 2.xlsx]Pivot Table!PivotTable22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Monthly Avg. Productivity Trend</a:t>
            </a:r>
          </a:p>
        </c:rich>
      </c:tx>
      <c:layout>
        <c:manualLayout>
          <c:xMode val="edge"/>
          <c:yMode val="edge"/>
          <c:x val="0.16853735992292934"/>
          <c:y val="2.405496654560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ln w="28575" cap="rnd">
            <a:solidFill>
              <a:schemeClr val="accent3"/>
            </a:solidFill>
            <a:round/>
          </a:ln>
          <a:effectLst/>
        </c:spPr>
        <c:marker>
          <c:symbol val="circle"/>
          <c:size val="1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3"/>
              </a:solidFill>
              <a:round/>
            </a:ln>
            <a:effectLst/>
          </c:spPr>
          <c:marker>
            <c:symbol val="circle"/>
            <c:size val="1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Table'!$D$15:$D$22</c:f>
              <c:strCache>
                <c:ptCount val="7"/>
                <c:pt idx="0">
                  <c:v>Jan</c:v>
                </c:pt>
                <c:pt idx="1">
                  <c:v>Feb</c:v>
                </c:pt>
                <c:pt idx="2">
                  <c:v>Mar</c:v>
                </c:pt>
                <c:pt idx="3">
                  <c:v>Apr</c:v>
                </c:pt>
                <c:pt idx="4">
                  <c:v>May</c:v>
                </c:pt>
                <c:pt idx="5">
                  <c:v>Jun</c:v>
                </c:pt>
                <c:pt idx="6">
                  <c:v>Jul</c:v>
                </c:pt>
              </c:strCache>
            </c:strRef>
          </c:cat>
          <c:val>
            <c:numRef>
              <c:f>'Pivot Table'!$E$15:$E$22</c:f>
              <c:numCache>
                <c:formatCode>0.0%</c:formatCode>
                <c:ptCount val="7"/>
                <c:pt idx="0">
                  <c:v>0.96260000000000001</c:v>
                </c:pt>
                <c:pt idx="1">
                  <c:v>0.94374999999999998</c:v>
                </c:pt>
                <c:pt idx="2">
                  <c:v>0.85171428571428598</c:v>
                </c:pt>
                <c:pt idx="3">
                  <c:v>0.93092307692307696</c:v>
                </c:pt>
                <c:pt idx="4">
                  <c:v>0.91907142857142865</c:v>
                </c:pt>
                <c:pt idx="5">
                  <c:v>0.91184615384615375</c:v>
                </c:pt>
                <c:pt idx="6">
                  <c:v>0.90537500000000004</c:v>
                </c:pt>
              </c:numCache>
            </c:numRef>
          </c:val>
          <c:smooth val="0"/>
          <c:extLst>
            <c:ext xmlns:c16="http://schemas.microsoft.com/office/drawing/2014/chart" uri="{C3380CC4-5D6E-409C-BE32-E72D297353CC}">
              <c16:uniqueId val="{00000000-1897-4A0E-9720-4DE7BE365729}"/>
            </c:ext>
          </c:extLst>
        </c:ser>
        <c:dLbls>
          <c:showLegendKey val="0"/>
          <c:showVal val="0"/>
          <c:showCatName val="0"/>
          <c:showSerName val="0"/>
          <c:showPercent val="0"/>
          <c:showBubbleSize val="0"/>
        </c:dLbls>
        <c:marker val="1"/>
        <c:smooth val="0"/>
        <c:axId val="787773935"/>
        <c:axId val="659099087"/>
      </c:lineChart>
      <c:catAx>
        <c:axId val="7877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99087"/>
        <c:crosses val="autoZero"/>
        <c:auto val="1"/>
        <c:lblAlgn val="ctr"/>
        <c:lblOffset val="100"/>
        <c:noMultiLvlLbl val="0"/>
      </c:catAx>
      <c:valAx>
        <c:axId val="6590990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739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[Exel Dashboard 2.xlsx]Pivot Table!PivotTable23</c:name>
    <c:fmtId val="8"/>
  </c:pivotSource>
  <c:chart>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13049121129834E-2"/>
          <c:y val="5.0925925925925923E-2"/>
          <c:w val="0.85993323391262766"/>
          <c:h val="0.8416746864975212"/>
        </c:manualLayout>
      </c:layout>
      <c:barChart>
        <c:barDir val="col"/>
        <c:grouping val="stacked"/>
        <c:varyColors val="0"/>
        <c:ser>
          <c:idx val="0"/>
          <c:order val="0"/>
          <c:tx>
            <c:strRef>
              <c:f>'Pivot Table'!$H$14</c:f>
              <c:strCache>
                <c:ptCount val="1"/>
                <c:pt idx="0">
                  <c:v>Sum of Completed Tasks</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Table'!$G$15:$G$22</c:f>
              <c:strCache>
                <c:ptCount val="7"/>
                <c:pt idx="0">
                  <c:v>Jan</c:v>
                </c:pt>
                <c:pt idx="1">
                  <c:v>Feb</c:v>
                </c:pt>
                <c:pt idx="2">
                  <c:v>Mar</c:v>
                </c:pt>
                <c:pt idx="3">
                  <c:v>Apr</c:v>
                </c:pt>
                <c:pt idx="4">
                  <c:v>May</c:v>
                </c:pt>
                <c:pt idx="5">
                  <c:v>Jun</c:v>
                </c:pt>
                <c:pt idx="6">
                  <c:v>Jul</c:v>
                </c:pt>
              </c:strCache>
            </c:strRef>
          </c:cat>
          <c:val>
            <c:numRef>
              <c:f>'Pivot Table'!$H$15:$H$22</c:f>
              <c:numCache>
                <c:formatCode>General</c:formatCode>
                <c:ptCount val="7"/>
                <c:pt idx="0">
                  <c:v>209</c:v>
                </c:pt>
                <c:pt idx="1">
                  <c:v>173</c:v>
                </c:pt>
                <c:pt idx="2">
                  <c:v>175</c:v>
                </c:pt>
                <c:pt idx="3">
                  <c:v>154</c:v>
                </c:pt>
                <c:pt idx="4">
                  <c:v>179</c:v>
                </c:pt>
                <c:pt idx="5">
                  <c:v>178</c:v>
                </c:pt>
                <c:pt idx="6">
                  <c:v>109</c:v>
                </c:pt>
              </c:numCache>
            </c:numRef>
          </c:val>
          <c:extLst>
            <c:ext xmlns:c16="http://schemas.microsoft.com/office/drawing/2014/chart" uri="{C3380CC4-5D6E-409C-BE32-E72D297353CC}">
              <c16:uniqueId val="{00000000-C69C-4E86-8438-E8725A69654A}"/>
            </c:ext>
          </c:extLst>
        </c:ser>
        <c:ser>
          <c:idx val="1"/>
          <c:order val="1"/>
          <c:tx>
            <c:strRef>
              <c:f>'Pivot Table'!$I$14</c:f>
              <c:strCache>
                <c:ptCount val="1"/>
                <c:pt idx="0">
                  <c:v>Sum of Pending Tasks</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Table'!$G$15:$G$22</c:f>
              <c:strCache>
                <c:ptCount val="7"/>
                <c:pt idx="0">
                  <c:v>Jan</c:v>
                </c:pt>
                <c:pt idx="1">
                  <c:v>Feb</c:v>
                </c:pt>
                <c:pt idx="2">
                  <c:v>Mar</c:v>
                </c:pt>
                <c:pt idx="3">
                  <c:v>Apr</c:v>
                </c:pt>
                <c:pt idx="4">
                  <c:v>May</c:v>
                </c:pt>
                <c:pt idx="5">
                  <c:v>Jun</c:v>
                </c:pt>
                <c:pt idx="6">
                  <c:v>Jul</c:v>
                </c:pt>
              </c:strCache>
            </c:strRef>
          </c:cat>
          <c:val>
            <c:numRef>
              <c:f>'Pivot Table'!$I$15:$I$22</c:f>
              <c:numCache>
                <c:formatCode>General</c:formatCode>
                <c:ptCount val="7"/>
                <c:pt idx="0">
                  <c:v>133</c:v>
                </c:pt>
                <c:pt idx="1">
                  <c:v>79</c:v>
                </c:pt>
                <c:pt idx="2">
                  <c:v>69</c:v>
                </c:pt>
                <c:pt idx="3">
                  <c:v>80</c:v>
                </c:pt>
                <c:pt idx="4">
                  <c:v>62</c:v>
                </c:pt>
                <c:pt idx="5">
                  <c:v>65</c:v>
                </c:pt>
                <c:pt idx="6">
                  <c:v>40</c:v>
                </c:pt>
              </c:numCache>
            </c:numRef>
          </c:val>
          <c:extLst>
            <c:ext xmlns:c16="http://schemas.microsoft.com/office/drawing/2014/chart" uri="{C3380CC4-5D6E-409C-BE32-E72D297353CC}">
              <c16:uniqueId val="{00000001-C69C-4E86-8438-E8725A69654A}"/>
            </c:ext>
          </c:extLst>
        </c:ser>
        <c:dLbls>
          <c:showLegendKey val="0"/>
          <c:showVal val="0"/>
          <c:showCatName val="0"/>
          <c:showSerName val="0"/>
          <c:showPercent val="0"/>
          <c:showBubbleSize val="0"/>
        </c:dLbls>
        <c:gapWidth val="51"/>
        <c:overlap val="100"/>
        <c:axId val="922038175"/>
        <c:axId val="1057039295"/>
      </c:barChart>
      <c:catAx>
        <c:axId val="92203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39295"/>
        <c:crosses val="autoZero"/>
        <c:auto val="1"/>
        <c:lblAlgn val="ctr"/>
        <c:lblOffset val="100"/>
        <c:noMultiLvlLbl val="0"/>
      </c:catAx>
      <c:valAx>
        <c:axId val="105703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38175"/>
        <c:crosses val="autoZero"/>
        <c:crossBetween val="between"/>
      </c:valAx>
      <c:spPr>
        <a:noFill/>
        <a:ln>
          <a:noFill/>
        </a:ln>
        <a:effectLst/>
      </c:spPr>
    </c:plotArea>
    <c:legend>
      <c:legendPos val="r"/>
      <c:layout>
        <c:manualLayout>
          <c:xMode val="edge"/>
          <c:yMode val="edge"/>
          <c:x val="0.28644396633343328"/>
          <c:y val="0.1626151939340916"/>
          <c:w val="0.6745588248841086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[Exel Dashboard 2.xlsx]Pivot Table!PivotTable21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Top 5 Employees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25554760200429"/>
          <c:y val="0.18300925925925926"/>
          <c:w val="0.74564590789787644"/>
          <c:h val="0.70959135316418775"/>
        </c:manualLayout>
      </c:layout>
      <c:barChart>
        <c:barDir val="bar"/>
        <c:grouping val="clustered"/>
        <c:varyColors val="0"/>
        <c:ser>
          <c:idx val="0"/>
          <c:order val="0"/>
          <c:tx>
            <c:strRef>
              <c:f>'Pivot Table'!$N$3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Table'!$M$4:$M$9</c:f>
              <c:strCache>
                <c:ptCount val="5"/>
                <c:pt idx="0">
                  <c:v>James Smith</c:v>
                </c:pt>
                <c:pt idx="1">
                  <c:v>Joshua Martin</c:v>
                </c:pt>
                <c:pt idx="2">
                  <c:v>Linda Garcia</c:v>
                </c:pt>
                <c:pt idx="3">
                  <c:v>Mary Johnson</c:v>
                </c:pt>
                <c:pt idx="4">
                  <c:v>Sarah Davis</c:v>
                </c:pt>
              </c:strCache>
            </c:strRef>
          </c:cat>
          <c:val>
            <c:numRef>
              <c:f>'Pivot Table'!$N$4:$N$9</c:f>
              <c:numCache>
                <c:formatCode>0.0%</c:formatCode>
                <c:ptCount val="5"/>
                <c:pt idx="0">
                  <c:v>0.96779999999999988</c:v>
                </c:pt>
                <c:pt idx="1">
                  <c:v>0.93299999999999994</c:v>
                </c:pt>
                <c:pt idx="2">
                  <c:v>0.97300000000000009</c:v>
                </c:pt>
                <c:pt idx="3">
                  <c:v>0.93099999999999983</c:v>
                </c:pt>
                <c:pt idx="4">
                  <c:v>0.93479999999999985</c:v>
                </c:pt>
              </c:numCache>
            </c:numRef>
          </c:val>
          <c:extLst>
            <c:ext xmlns:c16="http://schemas.microsoft.com/office/drawing/2014/chart" uri="{C3380CC4-5D6E-409C-BE32-E72D297353CC}">
              <c16:uniqueId val="{00000000-CE8A-4541-8BF6-A23E4425B726}"/>
            </c:ext>
          </c:extLst>
        </c:ser>
        <c:dLbls>
          <c:showLegendKey val="0"/>
          <c:showVal val="0"/>
          <c:showCatName val="0"/>
          <c:showSerName val="0"/>
          <c:showPercent val="0"/>
          <c:showBubbleSize val="0"/>
        </c:dLbls>
        <c:gapWidth val="88"/>
        <c:axId val="659051263"/>
        <c:axId val="794493647"/>
      </c:barChart>
      <c:catAx>
        <c:axId val="65905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493647"/>
        <c:crosses val="autoZero"/>
        <c:auto val="1"/>
        <c:lblAlgn val="ctr"/>
        <c:lblOffset val="100"/>
        <c:noMultiLvlLbl val="0"/>
      </c:catAx>
      <c:valAx>
        <c:axId val="79449364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5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Avg. Achievement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lumMod val="85000"/>
                  <a:lumOff val="15000"/>
                </a:schemeClr>
              </a:solidFill>
              <a:latin typeface="Aptos Narrow" panose="02110004020202020204"/>
            </a:rPr>
            <a:t>Avg. Achievement by State</a:t>
          </a:r>
        </a:p>
      </cx:txPr>
    </cx:title>
    <cx:plotArea>
      <cx:plotAreaRegion>
        <cx:series layoutId="regionMap" uniqueId="{446E4FA5-2848-48E3-95B4-25F246105EDB}">
          <cx:tx>
            <cx:txData>
              <cx:f>_xlchart.v5.2</cx:f>
              <cx:v>Average of Quality Score %</cx:v>
            </cx:txData>
          </cx:tx>
          <cx:dataId val="0"/>
          <cx:layoutPr>
            <cx:geography cultureLanguage="en-US" cultureRegion="LK" attribution="Powered by Bing">
              <cx:geoCache provider="{E9337A44-BEBE-4D9F-B70C-5C5E7DAFC167}">
                <cx:binary>7Htrb9w4tu1faeTzVZqkxNdgeoAjqapcZZcdP/L8QtiOI1GiRImknr/+7ErSPYk7k57BPbjAAa4R
JKnSg+Tem3uvtTb998f5b4/m6d79Mjem9X97nH97UYbQ/e3XX/1j+dTc+5eNfnTW20/h5aNtfrWf
PunHp18/uvtJt8WvBOHk18fy3oWn+cU//g5vK57shX28D9q218OTW26e/GCC/8m1H1765f5jo9tc
++D0Y8C/vdga6/TH+xe/PLVBh+Vu6Z5+e/HdTS9++fX5q/407C8GZhaGj/AsES+ppBQzLL/+vPjF
2Lb4ejkS5GUieJwQEaPPP/HvY1/eN/D8vzGhz9O5//jRPXkPC/r87zcPfjd7+P7ixS+PdmjDyWgF
2O+3F69bHZ4+/nIb7sOTf/GL9jb7ckNmT0t4fft5zb9+b/Z//P3ZF2CFZ99845nnJvurS39yTHZv
9CfrWv0/6JuYvyQ0YUxi+cX2+HvfYCxfMswJx8lX733vm39vTj92z7fPPvNQ9l//Kz109zTfQ/T8
T22cGL9MWCwSgfEPnSPlyziOieScfNlY4vexv2ycv5zOj/3y9bFnLrl797/SJZdP0y/vrat/t8z/
fTpLyEsZS5KA5f9IV9+mM05fMrhCGU6+eIX9PvYXr/w7M/qxY/755DPfXL7/X+Gbn+fcb3fNd3f+
h+Umli8piilPYv5D/8CuQVjELJZf/ZN8759npeBfT+vHTnr2+Hcr+X9UZ/51DfqjTOf34X7zub5/
U4Z+fvXzcgF0PHv0Z9nui+32H397AQkMqvofsOH0jq8PftkU/2XuH+6bPwrbPx95uvfhtxeRSF4K
KRKcMIwFZgmCTTU9fbkkXiYck5hjQaBUYQFZsLUulL+9iOlLhDjlUqAYihyX/MUv3g6fL6GXBPaw
lJQxBvEi8R+o6pU1S2HbP6zx9fMv7dC8sroN/rcXEDLdl7tOM6UJvEXEp1kgAlkhPk2he7y/AeAG
N+P/U+GOJD5OojMZRUmV6mpZzwaZ+LtvbPKDYegPhuEy5hJGQ4KQZ8Os2LtlXMfozK8Jvqtts+Tx
gMRVM41Rk/58LDDo8yVJjGOAZbHkLKHgvm+XBL6ovBxjdbZgK68Qc+ORURwfkhXNrzrW6PIvBozx
n5fHY8kwBagrMOxewCLfDjnXnvaYO3WmF6eKVPU2XFg3FDa1UWNpJuQk3yDBYrJFQzHGOTWmWnbM
TqTd9bQYMjqOyZQOc6t3XaXdmbRzpNNFOvTQztpd9NLLXa8KuZtWp3cNW0jWqrk9LA4316Y2cmci
F17jwNqDHF23jVSjL9US9GVSVLTN46Itd0uPmr0u/LLpg2+uSZSsT7LS65uyTtwb3hVHNCx6M3HT
ZkNn0NlK4vqYJISJrKzi4Zr4ofm0xqu9WuOpek2QrtIWKbOlfdlmWDdjNth2OkNW2bxfe7ITI7Kp
65dpg8u5S02I/TnHwV66TkxpMHV8j0wRnRk29fnqoumsXwwv0mSWimUiIvbRi6a5YGszX0u7lkOK
+kkUqRPJFnni3us6klOdz6Xjvk/5MhWTfy8poYu/KNuu2vKWyzabFMR5hkqLuhTFTfswON69r4ZC
vK1kTW5kgWSZTcjLj5XwXZVi6XibNmSxdRpVet66UaAiRSIuH+rSCJrpNjFXyIyiy1hS2As+TMP5
MrTTG7GsJquVdjkhBmKvWgufJrqiVzrGN+WsUabmarkpe8k2HiP3vuF23NoZha0YWUTT2bLmo2ua
cle25ePiqi4vYkHPCymGLsUrLZuNB+OUrTLH3jTr2yQm0XXc6vUCrUr41M+43rN2RFFe60qhNLLR
bcI03asEJWfj1PpNvOj6AlXF8LHwLDzUeKnMZi1W1m6ioOUBTODzUrHHPphswpO7bA0a05mbjyie
p5TVybmKwpzWdfFa+khDkHZmF3WiTNeomTM/T21mSYIyqTRLeRfOq8glcTqHYskYEtU9FUjBzfxD
rIY4Ly1bNjNn/Y2aDLlgpX9F52nCqRA8gdCG3TNTMh7jOiGbCo9Pc8OjLXVRONakXR/CbJcMPEsf
urmur7RsSV6vIdz0NERZG8RN30u9Gej6LhpcfEnWkmzIsvrLiK/rZpJsum1bOWQFluN2aZLrdmre
8lhZcqZrMY1JGoqxXB5bpmuSqnEYbM6Geq5MuoiOVOnqqzGvi6amG0aGpc4W07P1QkxmmfdGomJp
srLoEUpVFBXrm9pPyVikMxn8VIAhbJ8Py+iru8RVoggmxdUsxumOL6HcSOx5kdOldHUWqVrTlPaI
pTKItt1N48r4uzlKCrHlS03ovhGTR7k20SK2vvK6T9KiCWxb1NNa3Iw1hTvjTo/FJevdUKa2ce30
qmBRIeK0Y70vz6WKRqtTryb6nnTl4KoUtSoqN5ObJXlTDVNEt/0sKf/I5xIcVYYyRId66YrB3daN
apt+h6Wv30e0q2/l2OidQy2kYdtwejaiYN5wtUQuUzFRSzoNLD7QebQondZxGlIalXJHQxwfJqL6
CzzP9Iw0EeLpXC96yZtV4jtS2qJKfX/6miumbpdlmB4ZaZVIW9x226SO4701M4w7JO2S14NJ9p1H
7UHPk9yEZljbrOmVgs0uJnveJ4nvMz5yvMXM29w43W5oJ0PWeiTmNFrKBjyg5IfZwf/6ELW3q0eq
SmkbDV0+jlNzPcdJ95SwRFzARHSxrUliz7tFNms+sMKUG7dMdi+QkVeGanZvmh7mF5sRb5XnzXU0
1bzOatHA3CLWwTUaheYTEc68iVGYX5m6Ymsu1sbeFk2pu9QDjMCQPGo2wL41+efa+hV3fS3kX/DD
o+0Wp4vyqzDzx8d/3NkG/nzWC/755UnX+een4++C0E/v2j3ZE4byz286zeaPd8Fkvs7uBL2++/An
GPgvgN4XfelfXPw3UaAEjecbGPInGHhhB+31ffs9EPzy1O9IULwEAAiENwFmzBll8MKvSFAmL1HC
BaJcMBwTwBD/RILxS0QEQYCcGOESOPMfSBDkKSETgSQnBESQ/xAJxs+gIAbMBJApwZRTnHBKTte/
gYIAXabBauz2tFVc5FUV4RtU9utRjLrb2r4SIaUdRw8+4uqOl9Ltl6ZVh8hpdfCOjBk3HF9YxNpd
naxjRkZsGkjbdXQnusbnvOyo3lgUZIbLar7CsE+eKkfwxVwW5k1C+rDpGqGzomzU0aKknPOW8DF3
fewyXCA37UITrWe2b9jt0A7z5Tcu+wFKfYYcwQJJwkhCPyNHEtPT9W8sUC3CjXbsuv3s8PyKKYBc
xTLIjIRwWhfM++fjPYONn8eTMSB8YAWCY/QMFZMIo7mo624/RQ4KYmEeinUaM63ABj8fCYLkW0x8
GonHBHOBBZVAOZ6tbB0YXn3JzH5Svc9JVS2pXGi0E7HStyMxyW4pK3Xz80F/sDyeSEDDDIJJgLDw
zJyI+KlpvdkPrFwgq54qh0eE03yYqVv+AoX/aDSaYAb4XiSMP2cyAItAjm4qs8doovWxdc26nZnD
09Vg5F/QGYz+bE8J9AwgR4wkkLtnnptryN1NjfS+L2cTZ3GpvMn7vrG5cHhNy6WcrwY34IvJ1+PZ
anjoNtoz/x+vmSIkOE8QMEQOSeV7CxvAAkszxNW+H+qmzGe/+JwVSt1J1kH5/Lk7/xxDwG8wBfJG
hQDIf7LJN7vD9dLEwbFq3+F1vbbC+TxEsIO7sqvL/eI1rXLeylr8xbh/dixFHNizxKD2coae5aW6
qCZdsK7at1M/dukI3pziYZrSVg/VfzbWiQ4jEFeA9IN7MUqejZXoaMJjKfVe477I+3nhddoht5wX
yxS//rk9T+96Rr0RxQRMKThKoMvwvT0rgGGRiyCG1mWdcG4Vbw5GxyPOfz6O/NE4MROSQZKBcCXf
jzMw4x2zs94rRMcqn6cKFpUs7Qm7xvS21LoJ6ewCYLzVdZXaoKYojz+fw7PYOdkVSxAaYH9ywtDz
2BkXXGvA3zCH0Rd5h8eepMUaFUcVL83BFoLmnsXLX+TzzyZ8ZmICKYiBFh1DDRXP3DkWbLSr4npf
ChW/dRVrDixOlsuuAi7s4q71aYjs3KbTMhc8UxPg7v3E2vkjZqZ3j90om0OtWnVWoKg5KK3gr7WK
rn9unR/Nk4JjpOSADiRiz7ZWTWM1rTyKzlDM2QMg18RlY28kuAhoMTtro6rj6VJFnG8iO9VHNJLF
pHGr1H6obXIug1T7WYv4UkbM8y0bS1vltpR83P18rn+OWpCkTiIOBuUIFKhnU0WyDdabSe8biYDa
1IWYa0DEPmx+Ps6zXQ8RIxDkGEhuRMDfz2ujjggYJfJ6bye7Xku9ghzS1paeG5/Q25+P9Tydfx6M
c0GgOlIJct2zRS3CU5/MFaRzEOTzQqgxR6YbMgNbZatIV2TdPC3neJj5+6hpi91safgLw2JETzvx
+3AVcYw4khRAAUznWVUxrosI7Ax1BjqCW/bcEEimQc5xty+Gbr2OYoYeaKl0pvXQuHTpyqqA/9dO
pKxB9NwXozrIYVhehVGSAehQ1bmsN2HQGamb9WhKrw6l7snNamL1aZwHA1KFWY+rccDmZe/YLe/n
+kAakBpGhyDh+mYiN3So2S0rO3QWQOYEWSVZhhx1OrqL+LReL4WKh9S05XjVOBTujVrQA/B/dfRR
t6ypnFv1qRFAAA/ABps1bcdOna0eJ35b8RKIZ8zdCSPYOkFp25PkvpQKP4KyGb+e4rjr01mNTQRy
gko+mTEkU96EOS43XlTlsYhhZycUUgt2o34YSkje1hf0U2GhiZu1DcBGkMuQKLJJy2LYopIluylB
AIZaPvuPgg9k01Y9fy/6yYkbiyuIN9j9Rb2trYThu85F14J4yJ3ID/z9miiaz7Usjvz0rKcWprHQ
ONn0evJTyoFz30kbL0eoM+ZNDwLY1WfzKjaFDWlLdN3FfVkf7MpNuVe4ANZLUFMe60I2w6Zfy6rb
QPMZstWAl3MXVshQAs/Rh9bWEJEWzRhlxmAQbHUHtluo0D5zCJV3yayTt4NDJspIgdpXcU14m1cJ
vGcqdXlkoSty33P94JCc2lQ5txQ7uUqzpiCo0tuqiOPXoh0dSSMCtm1ioh9M0ZAtdja5r2gfmRQ2
jXGp0s16TadoDlmo3fwKjf18pZdkLHOeYP3BsACpacXmDV5QYjbxKQ6byaqDGKqpyJZSBJ2vMwYA
gxu7btvRQCzxJqzHYlqMShVQryUNflyvGxohlK0N4Jyh9N2SVbAAnzbVtKrMQ4BtkC+7+3Iq0JkF
0aRLaZ3Mr5wqZ3s2lMAYGLXRHStrMBgqkuVYRKY61MJs5BqBhuiS+cpGpt+GiuOzYlrtpveKZktk
3XURSr1HwrXnIDEmmW6Mzhnx6Ijjdj0MoMOcxZyquyLwjU2G+r5nbX1cYLRMKcqvmpXvar12WQ/S
7Q6k0/i9ELDtuqTZIbuENKpBAEPRvGYEOF+GWeu2crZNlrjW1BlYlbyRerzSRbscKiy3ZdnH22ko
7UHCJklLEB7Suplk2jewLFMLl5V1bfJlDENKfKLSQJP3oOnFx6LRV24OIgVFbc7HRSQZFJwYhFz9
minWbBbfkXNDTYaGmmZdaKddLRuU1Ssu03JFLJddsqZalje+XB5kR+67IfKbKmrifGFJm5J1JPsI
iXc986pNx7gz2TILqGpDRz40cXJYY4HTkejLkukprxN2N47q3La8eBc6sm7KZJkPpWkgAScnjARi
7CXTcXwMq++vsTb+EI20zteVXdS8B/0tTZqKe1mfkkjhn3pUd6dGQDWkrRpVny5FXB2wTSwG9a3g
FwM1MCFrkhil40LW13RN4u08GTVswkjkecC4vwKglJT5BHpYXnNkXrtuKV4PBE23i6WAH6zvQJHu
xnU51nyNN6phHBSnID5WjXb72bB5D1JvA4MCij66At0IOk03fFqWTbwOw+ZUf06ibzeWme765pUP
fM047DSzT6IEoACprcrcAlikBvmprVvmQT/lGlJRO6VFoqAi8ELys64C6jNA/OUNwLytXFGyG0C3
7DLXkebKo/CGm7XP8aTHy6RfRZUVxooqD6DmVltakeY86ny9bauavkLD7LeMD8XbUBXTeTzMedBq
OlTTgEJKxCQ/xNXsFchexOtshDy5b6UrD3EPuD0lk/Bn69hAYFaAHYAimOjaLI5vmsW9a62gW9SE
8T1ocuJTSEDRS1mLyR1pKH87T6tcd4jqKAM1b06VHQCPtXN/1q2rvJyjnl0745cstrbLotDzM2DQ
8kzOmIS0w4N76ogQm26qlkMf4iNvEnSUyk0mSyS+SCj0Beqi5buBG3ltVK/KVMUqBvJflQnIFA7f
RRqkSRyMPIBT5e1MhzWHImxC2kZj8jivyF/zEIFq0Lc+F7YnOXR6NopVbZcuqqC7iUdmy0QYN5PQ
yet68fZVEXycNgpXe1X15AgW1HkM3ZN+VHg3UgqBLdsjA/kgU40kr4re0DPa8/hCFtBKcN1KbxV0
nXJQeO3OoLXbmtWL+yHAkiDR9NnoJx1nIsChqbRWVOzKsSUmbSfs08Kr4k2L5vgSunD2CvoFAPtl
bFna+ahqN0sd2QS6gaPZmbrl72nNQMSxfXE+R1TYXKnE7JdILk8B6PhFiKfhOiTRLNK4k6PPorqF
mp7IyWWtHeklMPZuVzecAwHA9mDwEmB3he44VY2BphwNV8LP81kMgrPMtBRnzby6/STaKB2xEue2
n9WxGlqxS4qxeajbnrNN3cn+bVLQfstYVX+StNEq63hn99HQgpZUGehp+e5DA6/euN4mJpN0JSbz
ah3vUZdUEyQBH+2L7iTTC4xCBm0smkO7ZjjHatEZstUGPK43dUMep0h2uR46kIipjP2mLYrlyOVg
Hzhux8M6V1EuJNTAvozX3UIXlSeiDq8wGv1D5WrI2b2BqgFJwNVFyMaE9zV9HdDQcv/I4JxZkqKk
nctPZbT0WdDelLCxQws0KUSfela2x5l25FJPdHgdFWp8SJwW74tBujaFpkVk8hmtgkLZWxrDG2hQ
Ne1ZxJLlQEgli03DxrdLwPoS1U2fR2I0OK36yqZ6qnEGKKq4XMjC82B6UDVIr/YUJPMYZhXms6St
0DGZtMlNPUHNsGSBToYZBsYAXVpozOGqn8+wmsIBu6Yb8pAQC+lsWYtbEVdkyaBzM+ypnKGMYFCH
IC6NhOzj1+hOQ2dkK2sLfoOisItRFw7dqofHDrgRMIzS5G3UgBWc0B8UOYUyKEroWPKOtCknbj5j
KFZvFkri+4h00SfChulCiaW4o+1aZdjCa2doK77GrR5TMlD3QXWJBjiJZNZ7/RqAsdoExVBa1v0N
i98UxdqmywrpVRkFQdW8QbRF0AGMbvg412nF2zVDXGyTNWKpa8OSJTVq0hnASc55Waa4dUUqgGOn
bZzYTM76oTYEWqUR8OR0KIOFUlmckTki24FNT2GN5Q64fJL1jshtjQXP6oYdiG8otFdHnDZ02IpC
FhkVJMq5gnBG1YzPF9rshhXfrx28uLSD2JGlr9OmWcwuCXq+7RkpMzKI4li146eoQ3Har02bsnEk
Bw3C7saDmnXQbjFnEoE8QOZxgf3shl1XBvRQByxT4PhQdQAIHZLBJhsvdb9tpuAvoBlRXdR43tWs
ADQPgCsDUs3yMM1XE0PQFUpmdkZdX2aoGQVQky43A3QJCUDBVzP2CHrBVbcVwT8FF9lNF9l1h5m2
adPLD26Jmq1bOnYeOtAO1gLtq8lfD3F0r1mytapcAKfIy7bxhybq30/NejXU6hAse905dYSUC4KR
0eGcufVT1Rdv4NTgDYf2ewdoOmsrcy+RnnZrDSIlD/IBmv0+W10x5DLC9LU12m2QJQ+zxACsogKS
fEn2hrmQS4K21dCdzyWHFn7BHptRdilpQNWGdg0wgmIahrfQNH+cR71n1UC2PTd6yha5FG9R54s1
dU7Uh8R1Y7osS6qtjnd43Yy9fjePsz+DkyEXtH+NxDjc9aKXm9LrWx4X5RmfZJ25fhzeRcSJzTyN
4WwEDnMxDC46c3N12uYLOtBY83fMJ+1ONz0TuS8nt9c9A3l0qk50gsty3tkJA4TWrk7SFUPPMow0
ctuymW8oYfIjYnyJDlFnQNBJa+kF2pGRTPF5EI33VdqXI7SkiDu9j/R1db+A6DyBcIFV2EPfESKa
T3XnUlA1kyqkqDLQXfNFadMa8NAZjwceXYYhcJ37yFZ9GkkQTZmfgHLWUmduIOq9KGr1ySsGGxBG
hRYDVQKICBFApHIiLNCiAsJ+yC2kF9CZTj2NxQ7qPbT6o42KeuAYltBzOPcwX/ZQ496IXi3HKKHA
kjWPNmHpGbqsIqrHTZAL0I6BQ1qafBVnLT6xE6zn8alayXRVsQVfIFyvW1y4+lDWk3pfNBGI3AUc
u7nBnoYNow6YSLGO6MHaidFjKMcT5ZUBWtUl7fzbvh0BOpiIoV2HY7cHbA+vjlgbbUoLBB0avsW6
5ZgDv5pY+MBMQ3LtAP6lSdm9om7Najy2+7YrqmyFkr8ntYdC6mN1iEsKooAHki8GDhrBqVPzebyx
S6LNYpnbKxZDz6Y24w7xpHn3+RYpGnKDGNB+yyu545SuZ3AYpLv3TQAONjsCKoGIp6tpBdgTAdmE
Xs/asltZgzG1K2mKytBvPwvFnZmhjTJbkQ816Mam0R1KtYa+biRhik051Qe2hnbHGurfWh1gAbqC
N0IeWa89CC+vqDb4XTMg8HpbI5jzNLu9o+38qp4B765RCadV6mE9zt2yhGyGgz/7pAEtvKNA+/qx
7GxGl6rfAVQDbj8Mhrt8rNVUp3oFVQTES0gGAwZ2gpzMbTLSfl8r1DQQ/2iNLqQtunsQ//QO1RUo
imI9l855kmIjA0gyvQpl2har3YZ6mpIL0wd0SfFEz221QodspSBeqbU+fI67SLfrdqzAA/EKDXDj
zHoNvVgGNGmOTvMrO/UpakFdSyOgWddmONnEDNBlw/ARfDVfWj6C2UCkzBLcrUcCfe6dPUlxfmjX
I1/UdLWaSeTW6nXLEoiAkCB4txxPLzQVuy2IjDayHEXeGQt6Pu9EPrccvWsQPFK3idvz9nTVBrAW
ZqezFXAAajmO8KLNsjpJ836K0LsS06TK61DLnfYQ92UE8Bpz0Fnzz8ITjoj6tOIERKUKoile4aXV
HNl7kBLbOIdyPr4OZMYXEk/qMJbK3qsSzmstqoStE5WwhZN4gN7kFNRBddje19yHveznKE4XP54O
pTij8A2QA1hhS+DkRaqKogYErKZ2J1tNLoC3uLcBTrrptEGmPsBJpfU4ektupjpUgLRg4sTX5cdm
bbr7XmgYeh78eDBhUfsAkmuTDiLy9+tSZAUCRS708Jx0uj6H5PswUD9mJdZAPUL32CIhMwnNvJ0f
nTqgAN4JQcFmn2EHqmGRoFi0chfcGDYFnHo5xiCBH7tmVO/dRBearWzF56Yg+KqNmTpQE8PMAzAf
mreQDndwmBTED2iLipyeomDqQJqjHRyXSWmSjHBuIAAnnOQAUcJX9FCgqruHVmRkM+jFwp62jqrc
AjvdDgjyo0zAUgUrorsVCMEnDid5mtPJEohBhxaIPNqpgy5IowAHwEHBiA8i54ID7ROsHJ8EA56c
AcGY33mr5w/zKKAL5QGQO5BSu2JTAqyAythVcIrDj+1lOYXhTqNJfOzGRH3SdpaHkZZmSYsJKlOi
p367UL4UqWwhAkbZq/cVo7RNvYudyrkFgTs3nbbLF/n5/x90+HKM/LvDvb+fIj6dCCWnlte/Pu36
7IzwP4/Jfn7u60EHxl5KHscM+qMx/H4GNLd/P+gAv4/xElpeEiI/pvDbG9+ceOX4JWgoHEIcjj8Q
6AZ8Pe7635Sd2XKcyLaGn4gIIJPpFmrQbFmytNu6ISzbm2SGhGR6+vNheZ/TVkfYZ/dFV3SpqoAc
Vq71D6udENG665GNOXg5kDoE/43cVSCk+BvEvl8RqStSTeEG1M7/hNidQjfOXHrfQ1ISEx3dTnYW
GXQ3IYL0PNOVX6SlveHU9OuwygMxySOVtdqU7dNo2VhkNksZXEXKI8MoI6vpL+aorobbyqs7a43b
khLt1SOgLO3B8v2KpCGDvHW+B0RP81ApxHNfQoq09KuoRe/fZX7ed4ABTj5wK7LzdP1BUYvOzSGr
PF12cTt7KCCdYO25ZXIbcFy3Fk3xb2uYQCv/K7GA9COoKCgRfyfOGPX3hGvg1LlRvgq/p3MLJn4x
1rKSF5WcBh2A2WcjqeuWd3h+KjvN3fT0txV1/8Z3/F2S7PxKg3D9IBCoFZDJ7KLafxCWWyHCwbf9
/FvhlKLMk7EVnlBxFLlWX5zgKTKSbq3GTKrYktbWNfezFOsAYCo3fxZXI4XyUMZti27EuYNp6vnb
729yJ2f/j6qRgY1/RYYsod0ssS/LX0nVRUFQKS2sb3C4k+0esi3Igv5UhXIESGz06PsvpWeT9v7+
ur8SqT+uKyMZuK5nuxCq768LTtEGrSXCb4gIq8GPJ7urhr+UpCDO4rnITf6hSbHvjbFSrUsl+PvL
/8ol75cPUDjL0I0k5SV76NfHzrwpt+xFiW8WWh8gAm+2fe8LG8kaL9stD6q73HJaB3Fmv5rHcrDt
TcWDyisG5b+9kxCxlPShCSOkT/IdZacCELhitfU36c9sudNKueKU6EBnM8hjHqbSf9GGIejjwQ8C
/6XlBNPRccrR/85/mJVfyUqGhepHwh2GqLqYGvFuNYx+bhdr2aRf02hrPH1u+65O1yMS7CFaz8iK
FpbI759/l4T9ugK9yEbRu29UQTh9z1lm0VZ4UTdaryrXQW1dLKPaN0S9tAqPIEWd3HaKYlg5cdFp
AubEXm4r81h3frEmjeXo5jGqFYLPQ++12n2op7wZXn9/mztl+fd9gqgMFcUub0BPwW55x8CbOQ21
3W/LKwIDzSKAS7CZH3uZhWehOhCT9di5Zb9vmnFu95cc3egf5ucfg+WgO5C+sH2sGEIS2n5dt2Hv
DuM6+O1rU3kWMbwgem0zgL89rt61SBGmfhmQq5ZfarTyRFTd1drxLkKrsKaSupZou0f+VfEtFNbV
dA1U3cHM/H64nPcbDJmL2CUSsL+sKhQbv97oIuami5pNvA6p61v1sRiHrjL3/TbmHRL2foV4Azuq
sU0c2xXB0XoIy221HueuSy+HSFcwwvW22et1rfpmTOMGvUE6JsazrerBr6NsqxOcEwsh0bWK1Wmu
bHg/frUE1e/7P2xTZ7c+/H0B4GxBeRKB8KCnw037LmKwMpt+gu19CbzWK+CR7NBjKaapiSJgdVQP
hPZ0fYuelUEESGm2h5MO2Jc/LfMo/P5kABz/uIfk+yjukm1ENoo4JHH73n23LEqMG3Wq2u6l0+yi
/iiGMpS3rqPEei0GszIcUTpV23OtlnUNKMr0DIBFwJ/9h6zfUhCWGrD4WVtm8O9CoCiWySKnGj9G
abx9etpBRCyhdQq86aHTRbk9b5VfUnbaVbUfWjmjzwS1TUQVHAtEudtzWC8Lcye8YuVl2OxspAjz
BvGDitnnrlyynASj/3H5KMysdY7Ddin4iZbkgTvPrWbPDcbOq8svC5Vl352iSTvToxTtNt5oXaY6
rqpauwiZs7ReLjLJ4fq5CZtUPk/25LDIgjAjz5j6piVF+f1ifx81Gf3ADvA9YUDyPfFDFfM3QZlI
1waNfVe9bE49AJMurh10Qzy3RVtdCtPPBIrfX/F9NEIMJG1UHntWytn9/oqDhh2eazF/hnLbF+Ns
5B7+dlafw9ufes9/SQuxsQhn14wD5D6BhXX6+9vY09lfNgUqHsS8nBUevitJlvzrLt/EZHqQrfq5
lmgTRDy2xrO+t73qiUaqHBrnqNOgze+nIYTQijvltdkxC0d3amMkM3M1xaOb9eAJof+4CF2FawxI
5k8PY4ikLOm9bWmvWUS2igtbpgjDZYrGjs2uUIE9tIjcQgH1VI77zp8g/T+4nPcdgG+pxfIn1dD7
uIauJbRJN3jq3cBITfDrE5d+qpDvDcHTZBpw2qOntUsSO237usU7J+WFcuaFZYumQvCSjT8yW0Tv
+5IWSAXc9DFd/H1Ju32+1foi71yxh8ge2b1z6qupG/Lz5q0luy6d6z2ndlak8886cHq20R8m8V1k
C8mAQo5NohoziNH5XajuRVNvbdG4T+GoBHsLTcV+A6MlzL51f+xj7LYr9waKtW9xYuUeUnTXc9CA
aZDGO4u3v9X25VB+gQsJ5EU+V/s4IBhp/bu0X/hUrsT+iGtW+8OptAItTh1aZTEkK+cFj/uHR3uX
ZfJo0S4Gd9gqNpra9/LWcSmdoDLt+iSyaY9Uo+5ZWlu15e3X0Q7x2cTr2PbbMwD6fj7WVuswIYtf
V9l63GrfGbNTJCwzP5GlaoZjDgrB6hPTRjRpcitiicm56vboZgibF7kLvuomIxkJF8zHFGsX2Ojq
MBR1JhmKcQyUNSZeZQq2hIrcgv96G589FJZI8/+3sL1/O6L+Xoa826MwkvikybQ9lNkRquR3e9SZ
N+mvfm99mnBmER3e0ltXhctUJlSWKmv+FBbeHUf7JaUgsbc5lmysou+OI7toyVq7Jfg0GIcVMq7j
yILi7Gd8ZNHJ1jumM3pFEPEK3aS+qKa0IWUh6DFKs16q8T7whzAtTukoQ4IBG3J60JjAOQFqi40/
Lg0H1c9py/q5YSiXKmzYK+yifTqyctknAsObw0u0FtH0YLd1y514JeqV59If9zr196MtI/FrTOTh
90OAIIFWnSzofWVDOjhYmb2sn5RafVQ/oylFhyQTR82d725S41lU2u/COMIOUSgokz7vr+zKiMWL
O7Id61qDvMvbtFaBSPq5XbKvdo6JcU6N9BFuNG31TRbVph9qzHX0L0GVBMo0IcPHQ1M0kYc0h/xx
MKd59sLpDrYqXdoYbV3t3AhbO9GhaXTkJMUyGp3GSIz6rYgVQim5JNlSTmyGadPIlmKI8gI1ReQ6
Rj76IIgyS5BsmRk6LZqVk5K/pdl4OaqAzCwJQGq3jbKWpYiUoFxTE/e4EP3TFAUZjtEaWdCn2W/d
/NnIKksPQo6uk6zUpy2aCfQE0SHK3blMMq/KLgJXjIe+teftOo0a2z47s6PcU2YNobKPHRZc+bR6
U1ZaTxFSsuXTgpxuvLWGsbEeODEC883Tvq+ftmDKmjbu2tZRw8do2arynOagG6etlWHdxnC2AmYx
0EhywlenLsLmm3K7dloOLJW1/x6ZcZ7RDVXz4BQXY9r03s4D2F7ln9PaKv27yAmssjxPfudCeX9X
YSNGRnlxRKjl7SbaiSW9OXro1Ec0kKNvH5tGdl1waXAVquqm8Zayz47FlI3zdDN7aZbnp1TWs/Ee
0sYVPbSbVLvXbaGcQtM9bTbHejWEOWKpzJJ+P2KX0luxXs7ZYKn8POc1p01SRrMkwE5dbry/Wsv4
3nDJ4pitNJkFaYtzZzqyrigeVxEu/ofKDQJexrc3rTyv+BvSCsnltnaQ/etm+sidrgofmsy9QNCH
qjdZC680wXlpCgd9gCen/Vy0PSvncTKBc1F8WdLVh6guPBV52Yd17uYuuC9Sq5irU1AKKO/LElA5
nD74hfByNGBRtGMSgR49VT4H+AKs7VrKamCk0BcQsm+J2r3yri2R6qC6cfI+d6r7opiLMD3OBYEg
O2IJEtw7IWu/pXWyKts92pla8x4BaFno8NCMtuU1f7mZ23A9PBhR9ATX1veJpvRmZN3QQDVOCNoQ
NiAz9TJSlhgf5p7TSzXw9EmnHFDuU6HmfcREBYkSoavCSvjY1MEe8uU0ZtDh0Qypax+3hnzjPEZ6
l7t1b4+qRm9j+Poi4B/OkiHlapVyKDIbJ9+nx+mkcr1/ORV6Q7QwMirAkixjaabCaspQye99T0HT
n3Sek2klc+isiGnyUHnGYgal6c3zWDQmbxgvS23tWRlM7cttiFiYW8mZ6W579FlZXEHwp/41tZZ9
gfna2mfeWy3eq6J6H5ppwtKSc8QiPOUepmbgssnP59FaiP4VwE3xnrd0rf9YejKNRCLnCAAo7gLl
MBY/V0+6DRE/GeDc4m/puP4YDMOq0cnPHBf9i7f/lxjwyAiYXuvx51Bbbx//zyC/fQ6kwC1vAxdb
VpDg11LTa5njQ9RnWJuVh+7djbZRceaKLLcfKcCzNoq9t4lqt2lkqVF5G51dNk60pl7slGpa/Q9I
XFtGaXLrio+4HRibxiYv0imKSxuyE0Vb7bm8iRfc7l+jtxFsO3YQce3tmZSbU6MlXdv4s3Oxoibg
a/bb1L4tDz8tK8bHlznfOHpBtT/84q+KdZo5er+MksrnzbXt7UA9ITOXZrziScU+vG8LaTOr4S55
yP1XnFwPfI9GHoLVNYxqv/W3AbU2BGs6aSvRSpT6iEVgCjfXC5bunO0gkn2cc9Oyp6Mi25GPYWZ+
8ylw+1fHzxqWz+CRsfLweiLZRatHbc0PutP+gksYeVFSNfa+HerN2++/wUiq5idTZVWWn5os5HdR
hTqZuCiHNXDGa/G2VvJiiMbg/HPIo2KCPj4uuSj5EU6AlosXXV5yzk9Ov/n2E5lbEU6HrrfGBiXU
kCFbSrxC0ekJgVAHtlkBGADZME3KXAZttm9nw/nKe+Vq/CI8lSSLy3ol4J9R4I6yhU9FZyqreorT
IaPOx/dj+DxU8cALSaNX3dU9ssy7tZ7B7Tx7doCKerD86m4qxxRQYNYFV3dU1k7PPlpaqoB03fa1
P0eE8uK0iN4lwoRaoTE5VjVHbH1crCaNBuRHHFXLZ9tfCuINyse2LC9+wsnFWCldnIyqqHe/rnKg
mQ56SsVwnMWPPdO3YcWA4YYu0+1ZqLCdx6dezAqbxvj26EuUDQyR6Jat5IlK2hHgBN9shyg3arkP
n7N0+6oBr9qX+Bt+Gg6oquzYMe7+vGOeu7xoFjif73PQRyvOqw1cOZJu2UQxkMXq17eiczSfQIaw
17CTZwbW1RvIsjlepdOTaXqdupdZ2m/8xvYGvaWU5aCGvSdLIMrUKSl9EU2UbZOMFcCEd12X/r6f
kNrngPCITkdCJTwkHSfuMJpFDDO13j54hp4GjC/aohIsvqgahPDXyIh4ys8z6VlqXc3poHV+F4li
Bylbw3F3G5Sp8MePEhhrTY9LWmCpPvlz51Wo8luLZipxAAjkv8hMOJTkHIYRk7/RtIKn8pt6PzZq
L92Xm3a1w+J7G8libEGiRW7jprqaN69Og4/lZmbrUZNMgypsHW0XXoi3rC9r7jZGoJD2/gxp11gE
f8rLHaWqcvJVMuuobufuxY9W1TuvEr60uvP9vlvTEwK3AWnenOPRT4+caKLy4qEC/7aSsKInyDOI
JOzyJzvriyxLUm8VanmYA3Kb/ls05fg9Pg90a9D2WZdmqqPEcrehfN6kwSseG06HhWLfcVpyyiDw
IuMYVnldRG6ClHK1gikOZpip5fDzSd7msu8KAOLE8wTKqWP6I9xU1bTHP1RHezQh+983bz7U+yea
H+h9Wrj7e1gWLD6xZuv+QawdHp+gct+5jbxKO7ZyRraY3m3j6nTHgo2678qo3v/yc8mSUxKJ6Aqw
/+kNgt/DqZUlelm1CGLH1XZ4b1SQzW082w2AvVy3NHIvZ/TxfCmzth0OHOCJeJGkZeNlj9qWJhY2
/MMduOV+5/RA4Ks/L+TpiCMNCQCT/VaxNXmxBUj1ms7Ij+VbwCrfgMYexSerAbn/DkLiktNSHuqs
7ts0Vr1vrEeTex3PPM6weNNV7mZ7GoeSjWsE2BS4LfNjw+Fb4RyJU8/sm7xzd5rx0MzLviaDdHPL
PPbU0NT1URUYy9LT24CAA+9Br0QvzO/KwbGKa+WKKgj/AHy9K+jBcogPrGCX4Objo3yHVagRDgG8
2n1Ubetz10GWLeyGuSXM9pbcd1A1AbyoeMr7/d7/UN39Wtvtl/d3rgZnEz5HNu6v6I82S2vNQwBU
9RYaCzBg7oI6gJ30+0u9A9DZTRiobK4FZMW//b2s/xuoOIdlH6akkv9ZI3a5tG3Sd6mUHzDR7qs7
wsfEi8kLZriVWjJlP4Pj7+/lVwhht+aCCjkeDw8dzjp3f70X7JUu8G2RPUawav5L7jl7Pj4M2DSP
W0vq/Kdx/ucF8RACHCAQReDiRe8wi1JpG8u9nT70S8NBkaEBGy9pBEKY+7mzf/+A741zPCHYLW0L
sLG62GXfA5lLVcisGSv/4WfEmNW2g/YrQhbPOy1yCKdT0aWb/mhmsRaHGgU321xoQoNFLyjOoz/c
0a8rnTGnlAojDq8gQuMCO/jrmK+Rbc3BKvqH6m1TzeR17PEFMShxPaeXAVOgpFnZmZHgcCC1sNR+
IwV+LLPhu6SyP3m1aD07XggtdKnpu56Psz9S5y5fBfVkMr/xWd1bmP39Q7yfRiZO2sLGaAUki8L3
/TT6qh9RBE93aij3yLT9SIS6wWvMx9UKjaRN6P8f6vIgQGiTRQMKe//nn57OYCEbwYVp7n4ee0um
epq8tERWWjcNefZfQWu4ubEIhiCLBG626j/CgZhTkOgpL+7ejiWS5H02grJiXzTY0njk3z/gHl/+
j4QCn42gnyQ7ED2KBNF8F/7mdVtyvXnlRdBYGjNTUNeBePE1G+ZPW/Cfl2LqQhi8UFLp03/s1/VX
py7KUzRUF2+pyOSBjrCO3L7m5fdP9VOK8bcHAyvkUhECmR/EfPg+rts2vEyQq+GsN9dWw9Glbw5D
abDWmvbfw9bAoSc4IcFWI9wmG9UiDrBsdOprTmskOAh1yw7k58aVYA/2fZ16WdZerOQGXnuXLjmS
7jVJXSinzwMNDiiDdOHKpj/WldncEYOE7Q81bQ88oLYbsTit8O+jNz6v9ClGxAcaADn9gq9RTRGS
GTP5OUpyu0CqcUGhEeT1ocLgzFT8TFACi6+p3ci2L4Xdm8Rh4f8IY2+lRjnbhO5Z1S6hm9JwTwPm
ycUecNHi96nuGtfwAVIs3wR3Yqj2ZM56y21wDoGrxDZauQ1jzDDWNGxoBo1C8OB3QYVT7D+QR8+x
qeKficyPDApmbWZ8NzTYBImgn0CWqC1K3z12Ycsla/pAkSnYsBV5llQLAuX8DJ5fFdWTIO2NxJ2/
jpHsLgvfxu17hWQQDWmyvtVh0bwOoj+o0tTAriAwASxDXKgxxPtlmTabcRf0tPHz3Puoj7pgPmY9
m7v/5K3RtLWf4Bt2Rosc0Hb9u3YcIBE+IbalPRmGBImc4KR07zhFUjsknf9eKT2H8Mrzl9l9cbxl
HcM7YLO0+9hEUVHSYasZLJtKmMCBw5PmhXDpx6ZdmdvDvLgbfTwwLIL2JaRmjhcmq0R3eoM4fByQ
tVc0b6CajkINL5orezhLuxrnV9+uy1UdUknCTY+1oKkxg4G8WCamic5Ouf2MRT18eObfhDVxuzg1
qkLYSRb9I88C+N7zxJWmXry8LY3qRzbYBFVJyabpbYfxDB+zj/VOD1kbcBtuSd+uubSm6BNBvA0f
u905c6pzL/NilWXzo7fuzSzWfE7PuZzERW6L7bLWy3QBktE+BNp3ExpeqbsgHysbzHjSn1IW9QVm
pBZFpnQVfp+u+iuz8/aAZSClFqV7xpliF0jJbbzrsLNf2pLt2Mydf+PPeYddVilm10ZxXwSLPBZt
bj5sRTXaR7Ly8YiMX1SsWL/+qjrz6Dqyu9bSyq7rCc2vh4MwQfuSXUytiQ4qmsOPQad6eP0u/5YP
fXqoVJfFq2yag5dG/VW4ufVppbuBjpvOk/x0uDaJLJrgNPOTlyH12KteWoOTRKXf+qiszuXi4BFe
o8I7qcJuHzsa6mxxBUQzxJZos6d52cIvldV4lPKm/jSHbn603dG+knTXy+PWssSNBKY76XFovg9F
kH4EPEQyq0YRfXOgeqhnnM55mNxC5aduRQLvIDl/GCYJ4EAoOAzrYq7EsPvFvXoOkzSIUhX+lePW
XC9RIJivgysL59iabqTMyWu14j31wu/h6AX1wUotfVVHyBEO0hmLj8skSuqkur32htHpkzRU7Re7
GLqbJZD29eA7+wpNvZ1Dzab5aiGdvbWDcroE/bau8lIozCBEv2/OPIsm3rYQg+yIrvDz3PXz996y
FnwFzvYFi0TroijokA9u28DKVVWHjcmhV+Sh2+ZyufJN1tNi0Onyu9UJCMSUVMk0i72HYEhPgiu9
9Prkdsa99qp6iUF6n715/Yp8N72TDttnGsx4AFq08zhb6inAOtCKowzG5q5TUn9eu4WczIbexkZo
SjQQZRLkGZ4xywj5BWa6jYVboSQHKIhxpI8fF6cpP+LxHen3MI7ZU6/W/i+9dLUb94tZktShb0hc
cH8wriGYGxtvUVsil3C+j1ysW0mzTcWXou62GJKnfm7afLfUTw4dHWV42aGeTjBzpVeSlopfhtBf
bgrw/gnaQRoumo54hq2eitRkN7uAOY8rp4y+aIuk5hCSn9F2rRj6e7pllCcCPZY0ekYEF6PTqnt0
Omg7ZqWf3LbpzpNZnHPRTf4XLdKnmTr5aaMnQXjuO7lih6uz7ysDclZjgDGXNHB9HBG6p7GWPYwt
zj2cDdN06Udld+7JQ504w3L8hL01ehVLJz4VOm1fp23avhsW+GEKWvdWIizAOeC7h37px0fySyv2
5ma6sfRQvmx225xFhecwaYCT7xReec6yhYhkF3kIHoQF84I+Mhgch6Y4l57RT2i76I5QYN9y7Eac
Cl8Mn8Hl+vuoUfrCWavosa71dp0NRU9LRUIuZTBdQRtpj1fayPm+GVL9SdPu56soJ4KD269Ygtea
zQOm9cERo7ledDBf5vMi6GZqwuaMN1weKI9RWAJ7RJebpdObNFX64+aG6ikEOvmMqXj8xIGfXbDZ
gtvNsUY0TH5+qqLUu4HhdkQy1lFF57q1wV6IFu20ZVZ7XwLB32dL2/UJyhD7pOei/9yNRtJV1du2
Gx1Jc41QqQQdqNtPmdiimphdL0cRlOGFA+eHBXmTH8IpEyDz2vpmpbTLs29WT255lKz1Qq57CAyQ
dnhTemLC2mPT9gM/bxV16c1sddk9KEt1Z+Gefq5G/YXvZAC9ufM81GQwhQmKuyUqkF96nZNfRS1u
dmOlZk4qNdu3SH3MU+5OU39WNP+USaSc4FqmrQ5PkY3kH79L2KG7H7DPT/DdmEa3OoiLbYymuBZp
c9da8P3Xq9VjWD749jxqOsBOED0Orcnmy0b29QexSOsjDZdymo8uWrVHFXX6ocjyqT5C+a7qus7L
Nsea03iIENPUsc7BNAzbwxo22qjznnrYBywUbdWWjFo7Z+VVSU2uq8QJyFwSrzbpdAtaUgyJME72
aQ42HCCtXfk3yPVS54DWH/PDSCE+Pns51Z8mjuhu9HwSp6xBVnQxjX5w5bmL3RSfNrGmLh63pbcj
c+US7OzLUMIInPtqbfRBTYNnHiMrKwsUOFkV6VhbaUbvAyzwy2MuUM3ErpLVx3Z1rO08U2gWODB7
176Zo2JpEleD498GFeH0gEBuO+DxyK8KF4cOPZjLq9Fal6H4UK2WH22C4ccFXR/AaepyV2l1rld/
GEdZhCPGzMLHP9aYoWU/hNCbiXFWtz5Kx1TqplSws3HdAPNiucL8HYt6hfgJTFFeNLn0Wox/3nxb
5sCkh2LJsTdnuKUPfmirAEis0M5lmekOOtJgcojdGfbbH93xzsIiGyR1kcohDmhcCRQHZvfsdJb+
NkWkJoIGBO65bVNHHGlG6ho3IYVTGDvg5pGi0X9E+Q+rJbEIJb0J17xKiKQ0O2LyrHzJvxKE+tA/
qq7CLJz1zhJhccZgpo4dPi3Pu3WsyTdPkLl1elH0ofySTdPLtqnsKVPdSxZ1XhFTJtSPM9qOYxqm
+mxzeNgECV9DfwXbdbW61Z0WuTlNSkdJ13dbFwfINDtsqV79SFML/6C1v+KqySXxdRrrr2OW4nRr
K2i8DM83DGOIWXgZ9u7AHDbyPhqUeAwQEOlDPoH1sB5YMDF6uPmb03blxw4ffngcgiC7GdqmfTT9
MGZHs9Ach3a4dRbENKaNLmv8hRiP+upU9qn3iKnMOUajaq8xy1u3brnIa7eDtGyzAfIa131LL990
+tKYwJy3hb6+sR1wCB/saOqHY+f47R36wRnpop7TOBpme0l62pcl0h9wEkVOnaIhRRBpLgefh8N7
ZzmPW8r/1CSF9+7PBfzaQbMp53hbS03jF5fDP/dp4JEX5BfcQvrAqZOfDJ22E9N06rnIM+cF5G05
IdqJzq0d1aegC4p7q7BpIlX76i+7qZ+qAiVYRuF2Cty0+Ezj6bGNPdomfBZ2qq+MK1LaK2AXDZMc
cBSLlctDZzYIN1bHhGJXfCgoS66m2cm/lkoEL2WaOX+VjphvJpjbg9f17aUAMn4GfHfLPabR7lkU
dn/rp6kgbyU47otQfpXlXgyvdALi1F7c4bWdQis/Vj6tjGLA5Na/bLwmb5NB58sI17S1gIXBXGBR
r4gjsW/lhXdbdYP7qpQay9ilY2oTF1WgwqTkdxPgL9aEWjta4PrGxdGuEHJqcq0yu6qxs/2ro2pT
SdkJYb9w8M46juj7Ol1YY4lruSusCzqWuU+7buDkbFNp4ny1ug+etxSvho7PHA9Unid8paih2tQT
N1B3+ppuR04V64yU5mYZTPdauuOSJwMw4xTnU7V8HTGT6TObkjrNdKCY3yZYqymGkZvoQTTR5rbv
MyRT+bKRzCMb/U47+Ck91YEaryWdf3dbrJeOB/pVWN7R6ms0v/Y2ec/jUFWfg25aknIQ2Cxtq7fv
zBw4j7BrYYQqiBwu9sdZVWeMdOMV0a+Zj0uvFObdJSL1RMVhtXeCPr5WYtJdibfSWao7Yk3GYYAi
hUWUSFWrQpbTKZt8qJS6TIqSJE0f9zIWb9va5y45Nf3Jtr8azIjlB7d15uFAVZGWhLTIb+mCox2T
VevZst2ikR98I2jVWzp9Lr5UyEatJpmscCnSE4RZudi3pWr9NkqothfZxWZT9WDwsc22tx4U/FVY
xQY1t1wPzbSmdXm9hqlL+4zBUIB199UEOkSXTWTekTlp0+Gtxh8o2+wws1WgUXDjiEbH09K3/njK
yNWaS3oGWfW/h35YJu9IK528pglwD9f2mNou3Mu5Qyg1Nge9Sssu7gvTlcyDtJBL0ZzQ0Aoc9gav
bOt8r60Ij73uhoLuw1GnFu8vD5ZJPb6BtVa3Ew60GdmhUddJl+6a/0vHTt2jF9h5EPbhFnyjz4u9
+Gd01Rv7rXdw4H823awsvKchQJdFZZsWs88RQTgen+lEIHo6dJBQLnd2QdM2mZhsMH153mC3mC2O
vKItXkVomqmmM/1o1oY2LzwezX1aVBYY/r1B1OmjGL0u948+QtVcXNnG9GuLDikfyXGoHbL+1HVh
QTy2aGtQokK6dRFzkbp3ERFzjWgiPYbynI9Bva4dKOwEkponSKpMNWOTbxaZV/isUdxEYAc0h7nZ
SP1CPNuVn8KCTWnUYb6WfSSPwboJeYb3q5+70FRPFuoa+tG0mM9iadg7R9Qm9Te7oRctLI1Nw+xj
6w+ROtDViqZf8Ua/2Y8Yhsz6Q2V/FeXZdA9YOl2AA+f0e01FUrq+uS0c+lwcO1Ej1poiiODOqh6L
aJmDy54ULqAPX7fKeGnmsjnr0UbFuIQdbbWQUJf/w96ZNMdtpVn0F8GBhxlbDDmRzCSTg0htEBIp
YZ6Bh+HX9wHtqi7ZHXb0vsLeOCwqmZnAwzfce+5Hs6rwQqIOL7Jn8RyFiqGvy7UHNTlTIChFSAVK
hxhljWnuO8sYyiAqnfm7skbzAuk9nlpxdfI0NwO8stV7B7uy82CM0xpUqyLpRrpMJCHlRAcpIDFz
+RGDYmHiQkWtVf6aJ/EOn5aMlF05CgdxjtZCiYlUo65DY1H7g+hr+62QhSF6H6REXPsMFFOTDtVe
+nPpWOoYaKo5Dq9IH5BNeF2Dys5H09FKCiShoStiuHWO6bxLz2ipw/Fhj8bsTXpuh3ZuFScl7muk
7KOJuQJtXVMi3dCWEd97ZbqspJQh2eNb4Iux51jxdLR1h7Yp2syHaWN8XxEscG1E7sOoqBvMC+KN
JRoswnzZgeFGjhtmaCt+KIiXGB7iN71VOIb7rzSXU/JgZ2W3VV2QzA5UMNapA4KcfueI1Je9Lo3s
Wk96dIdMMv6IO8En70zrjFwtGpmMrGs6ew1W1WcHHMz91BUJbwEbG9thu6w5Te0Ss0JuulfB+NAO
3KyejphcjTSY0MZ8mXRwxr6Z98ahMrIMeWJnPhLogFtcq9RXq+uF59roEBOc4Cj0+3XxsBwtZzyV
WhrAhpeYuooKgTwEMFceY6tDndZXK3LQGDM8v64LLgZ6Xdv4TWUv2o4NEXtWVcdYGMRSlxy9IPmY
wgyNjbxQjwF+eKDE+jt9bMbbWBO4slUzbuwdQojmaZrtAdXxUPEuUQPYX40uAXNVUoBfWmWreHsy
oCqPmnpJiQKIXOQoOQTzgAd6hvKKccn9Cr2o91araQD2SAR2ga6WabgCV2VCYSKnQzZSwkvXm59T
n1ShFvWwQwZzebM5LeTNPFQdrJBWOtfe7OCYDYpptjQEKVOgUqvv9CLSbpykyG1kQtFSep2I3BtF
SbTvS5HmpxmY1T1aPRAwqaN9wxUzVuwZbHfxU7PPOt+eDDDy47RkvVd0zhCFY5I6Bedvpxc3mdAW
czdYk/miREkzn5lc5TrDAFJMvKIpxRsZA/HilQgxzjUKEzW0sW/TFLgaroYW7GoZliJLnnJz7iYI
MTyfJfV5kOhdC7mRzdRl0ifG0LpWR2enKPXXFpVF7MmxeNP7sn7thrr2krRi9oiiEqFULLnki+4t
ViYiKfJ+VnyFyuOuG7H39MxdvlbxqBy7jJs6wJ9uX6Bq1KfBbPF6dHZ+y1zAPiiR6rwwMU5tLoPY
+g5yTQ9nQ+2vslu0Y97Xg+Zn0pm2ao3kEHBZjHjsvncOvZ5UVrC6CoVTmbrzviKUobjilk2DjuFW
0HGpQ7HRzTGkfBE31VInaAMn8ZpEy/zqRoMANjWqWCfNPCydAqYH2sLAMI3h2aHc3wsjEt9rFOiv
Kj9iegooFIRWyiueG+duZsm/b+TAXeeM3xAoD/fNqC5Y04daFdwH670bKzkVjQCvx/MARNLo9Hrg
AMFgiqbcTq3WfckYdgTOTKPSEqGzenMi6hfFKYzHLNENyHtM9Y9NUwlWYSgtCRF4X0am/x30KeZB
3XceUHkpA3bguJhe6Wjrsrl2Rl8b5mXIkpZTvnecTZvUtfifEQnMSwZ8CWNDo9cXY0FKs+wnDa+G
Fui1Og/JUR2TMluPCLmX4Tkin8B8Nyujzg9Z7ZSD4UdGpw6wpqRpTB2HV46ahZ0W+ojMFamlBgjv
xErZ6KgwrLrc6tT5OC4zU0zP0mZzB+ticr5aVTVwqLRNXswF55iZqGZAnYdOIVDAEsUIWog1kciR
KeNRVS14oblpkLEbJlLQpKl/qK2yEBHCQhOhXtg305KDPVrTOEct1MTRJiLnGgSvtI+zeFXbB6k7
Ay1Mqs9W173UzhRBJWYR69D3YRlK5+ycZXVPqkY/gaAVodroY99+H/NVCsgAWdykiz/VBiWZtzYJ
J8MhwiaZuT4T6+2dGFasusU+iWdpt19GMjY00wPEkPP/0MLb1nyjDD0N80229BB2gYW4ji13/7Ce
+9UgwvIPA7WLV3YLh3SJGPrTGrdS6TmyuXHf1QwXyR9bb83KTdZPnV7GqD0nR1alr5ZGpxFbAcoO
pUrBHqX3B72a7efsc9H197/Xr9tlfi2bPT12VSizLA//EvmUmgvWpDi1P/K62RYt5e/CjzJ3Cy5E
pWZd9g+Lyl938tsrYuPm09i8w6x8/0zVZmjoDCp+iR/l768of1fV6GbVsZrv7cQYEcFJFQiWn6QZ
y8rfv4r/0hx+pzn8Eqr3C81BmKr2H1fHX2Ir7lL2j/zbNOn/8XP/G1yBtgNXhqYjSYD7jHXjX8EV
4jeLex35HVfZv7PL/g1v0NXfBKIa4A0sFhEzmc7/B97wq3vP5BZm160bYrMMfoKhf12tg5t0kkEm
8ZGGab1Ty466LZtAohhcuCJAk969z6Ns33kQR6f/+Fj+DzcQB8ufNARIl2BQcP3iC9pEBHyu/yks
Sm3GATlUzGOZ1cB1YohPitazjFxLoDnmAH5oaFH4eBrmJ8Kj2gWIlqT+vgU2ujyv0UgvzSxJi0FE
MGJlHrTARckjDT5tauQBaK3mbW1yKm+q+3TEuJHay0il0mihLsDhYgRRD/yWuGOWBP/xWeI8+WFn
jj76bQqwp0sQ2noZ9/91O5Z9ZLLz3pmm+R4J3Lpr9GRhBGxEJ6ClfG6Azqtbfk14KjBymm86zuMd
fvs8qEZFPy4j4C7PSgylag7F73E+IlpH5eR85vwsoF3tD+bssbWbXFvRXlSJ8SIsx3iGopYnivmW
qO7CssadmKzd1IOeO7o3Yc2b7lvNhoFlx84UnykjEmdX54uIr1OsWjvoPCVRRWlcqs5Oo/RVA/hO
unkUxvYnYwHZ/HUGjQExaos/4kGf8mj7TEXikUNCkpgc4LK+yC0Rp4VXWpFqW15bxd9L6D0XaS81
USRrQU8KVmNrs1rndR3nQQkBhMzhBGFyP5KtM/Bf6KNl925mrTzbTgYYLleRVxcYHR/WVKuDKYrk
a1c8wBYv9mVXQgTunWLPxKXpqIR9WVjtDUaFXWu0DXTIXOOCaWyEhSNTLmVxowdpLfNz3phbscNi
kwC2xKd2YqBL4/dDqebs6vTkbOGZaAP21ezxsTQcBzTzb5m57WIAPgSp3VVHytHhZETFAatVcU2K
LH+QFNFAEgHegudp94qYrBOz0ePsLk92xciRiZLbfzdrEV3LPLGDWddThtNWGbJ8KG9g3vY83KmH
kjUtnmsJp6pVRLJnVeO+W3HeMvOKuuxeop5lUixM3DvNop7dxYEAMWRCOVWJxU8taqU+YOSh5Gkx
ELJpfMqURnuzrBhqnGbk76lmiRfL4aYyaJp2kBeNY0yJRfc8l8dOn35EEaDTlXln6BJzwXI3iYdv
DK7CbCU6TyST4eXNdCONxLwUzB132A71Eo9UhDo1NvJj7QrrLqpt8TYjWqbFqhjYakxukTwUbFdA
M41G3ePDq+OLPpn1IWc4BDt7mc8F+u9DGTfmQ4Nl5TzKJnttqyR74xst9vM86jdjvRaHsaqac74a
xXsTD1bkR11sA1fU13uCEORtObROAAZNoINvHPu6ZAOGA7bjHCv6nN45aGQfQPdaLEK4JQ7F3EWK
1zgpcgor1i+jM/a3kuH6l7lXmTHhRVAZlssUuFzePo35OD2mWDVOOnzbUJlT9602luylk9ZwM5g1
3K+ZPRbmf3uF6g0HgtkHIQIN+vD9gOE8YFjk7LpWmj9N2bV7PNzLlzljshu7EH7zpjwOZnRXsLgM
ojEhrMs151BU8VFzG2iUKrIhlwyx3Bg/GINpGIur4qDGM+xis6kDQXO8J1PL3mmAvpjtW+33BmHH
jQo3eFcYFK5WZUwPWW225wRpwoEtuf6Ao2d5JadofTcjIR/4QKIL68Lxy2ovwidEES1SPwygoufs
MBVGtgfzatG/jnX+jHGl2PO1c7coU7tz7bz50BVr2K8Y7nsQ8yrtjzUb4LM7rJQCYC4j9MXyM00m
HikB2s912zZ4IBVGLuWlBv4onhqMf3dJVN7Tjrhnrdbi102FtMdq02JFWBTpUYerdwTGqXfukLtn
BZL1wzJLZoSiX9xbzHXF3i3mS9GOKAIEN+ppHGMjWA0XwwRE1fmIFCs+NTiOCSiwNhSiXt2N7cDU
QOeoqYrqRrHM7KS1hni0FswzPj0CVPTWWt6TbJohgSkOLOCxz7IDAv72Oy19OKsZ4ElM1yGpldrX
bARRWfRmsW+NNH0SXdZfY3uwz9rAZEYZ25Up65K3z30FbXM27fVO9o3yralHhLVCTNciBRPscffY
t9U0LR+Q08GN5HFrHqrKnBgDlXIf9UKeJUSQk1Zo1c5J2/ZlYhZwP2/Q3MWQ655GIHngyda8WRth
1xkq++eS5sTh4T8FCObGHwgmstBIVxevU7Obaofwxbk3A3sD+Sr1xvR1cZUeHZEzjVD7Qn5j6ysK
f2NWFr61KqA8E6N9iTZccA2n7Oh8MoTNDSdc4dza9ex2voBAsKyQSXH5XY9jZ19tMOJxwxLLDVBc
bKhi/PQHQGsshdgQ8jwpjKE4D4bqXjLYmHcEKw4h7Wd9amuSCqNBYSVo5OZ5Kpg8K7Iav+DKZrfZ
bPjk/hOl3G9U5SbumYJupGVVH4vRc5GkV567oZiLaVBwy5rWW5vWHD2fzOa63/jNHNqNhRIFrDN+
7fpi55V+TtWo4liSZN85BQDPbINC25986PGTFQ0MsEUXltT+XNvOt3yDSuOh+GawAb1T4sp8dDb2
tIAbfTsxk+MYXLR7lqwAN6PqbvsCT22hiz1TW18uCOrcDLb16AzZMdZqZiZJVd/X+Kie7Y2GPW9c
7Latzb3yCct2wWY7Fg/HImdiRSfSHBf0/g+0K8b7wGBs8MTQEJ03SfdRmNBiq7YnUjXpxJP5Cewu
YSXe558Yb03OEL1j2N5EHtT+pOq37CgBfyNfUO9aVdwNhjWf3EFzsHQp7Y9kTIGG4090D9FGErfR
JPp9AV28ipb+vlmL5p5Qw/aQJZp2mOle/HUjk0/TBilHA2N/oRbQnmbdJV5rNHX7p1Mq41u5Mc6j
vHkF5Y4pLHMfdK3rM96fOlB3bHx07ROVnjEuOE0bP936RKlDtMFjbMMrfU+brsQJgfCBpfkcmDWP
tyV3Yi5NEjTKDE57RG26gz1Y3oyfGPfJ6WwWxZ9495lD+KzHYxv0bQf3G8CYnDYgfLTChud5V+2k
AS++YJK3UxhfHrS6cC6fvFHkvCDmt1gZPOGA51sI9CMxQaS05VDpbdGRMsqsX/hc2cX99Emwx44C
zd5Wa8pXSdpsruTTlXaf+SS5sUdLXarLkLcT94kOpzMm9u6DwjcJDSPX9rnKsULvSjHNKhq8/qCp
06MkJvZZzeviGXkdyGWo0YZvRm17afLBvVlzi2olNqMjFJGx9IAdsmTMa55gnsPmNx1ltwZzDP4/
G1wGzsCUU5Z6sVsfys+sAP2P5IAcUwtBAtvaJEK/G8yD0wFfTNoHS+n1OwMr+pkoDxGwiY39IW6J
KKimNYwp/F9Xy7nJDOsp3gINRg2xDbJ/3qVxKnNbfE3RYHpYowq/jSyXkqy0XtkuasDUyZqVU6Jj
biREodHXbx2pCuBoH5wtZgFIpxUUW/RC3xIeWw/EMai6YvjsWfyZFuEGPmoZgv955mvRd+NCoIPb
I1fRC4obpUgvzKL1u578B7EFQcySUSrpc0WA5qbzmy0wgt2r6xXlNvve4iRq26hOaMH1XTU6Oxr4
5QQT85IshvaifyZSODMIJAL/ut02pvbXLboi2kIskIkMXs3gzd4CLtYt6mJRtHkP+7TxS9fZowOy
L/MWjdFsIRkVl983pbdDZhPRUwkI9dAwy0U3QrxGsgVtyJjIDfQlPOYAih3TBuz20g8reqgtn8MY
waTUQ3yG3sSTHUn5xVR5cxnRHuk6lPQJTTf4KHz/KYTtr20pVgsd14EB1sWhP/y1MUwigykzAoZj
hh2cEm62o1O3OpzSn6E5hlrRkVJLVTyy1Tz4+77012HO1hNbmoUJDc25qVvC/dOLr2mFfGJt0qOY
6+59xVJy26RFcnFyN7/+/Uv9WdnOS+mo93Sxdb8MSf/0UnjDMyQmJS/VaC0RAQIusVcRSP7j71/n
T/y/z/eEWB/MndCwz/zFrAS+ZTG63I6PYxMtuwQEwNEaZy0sqnS4B52Su7fSTaDcLEb5rbFjOmrC
bJML0/mtuY4SfrvPX+m/86N/mB8Jg7nnf3x7f5kfHesJ78f/YkD/+IE/Bkcu4x/8ffBjuDW4cv81
NLIYGtHEAQPaOB9ow/49OzL030wVYhgjSkz2/BwXIS6ELffeUH/TEX7j6OEmo9ngp/4V6frH/OZv
c+/1X41i9DI6vFHd0iAvgNQA5/jrbbuUwyArO3VOalsyD0bvG0y5ll95sOcfZSVXsjIHwybUFEcE
duYoP+t62b1lmdU3XmT3yj12LpYvSbPIewM35Eu+apFx06bz/J4MaRYfEVG2dH4VmHq/Rc2xo2ik
0J4L+2Uxh+lh7BqdLA+c/KRycVJ9SLmYtxJtyAuBRVnnrayjSm9wWEFhiZ1LxsITpaaRHqUpi5AV
RTsyxnFNkMelbn1wOxU/KtU+xkWxntlRyy8Dmc/XPFJILaFXjX6yfS4vsfIp60vox/FHvq0IPb4Z
USy/zDELIg1s+0+FJwBldmwytupm+x4plFsG86L395kZz3erjRLRcztj+YkYQXkAFToh3ZZESEhg
z0fLaBi4UL2KFKSXbtxqSZaj1UPX60J1G5NvaxNXDFGiPjRllLyJRY9nX3dKgMk21ZPnllbxuIgk
uWCyJIiCZnyDI8X7eHWxLGiGJDUJuW2wluTBlkm8gn/CIUBS3pJoDG2ENpLFmVciDtieuB8LlWvj
g2O0VT8p5HiDuxUqU5S3pzHKszDrgUgiIagtv0ANc9Mh+0FWvDC2UN3GQRhbu2BFkHdepV22h3hJ
mAwoav89USJnQHFcFrWPpKB5bCnOT8J2PnGxfDhuQfGqNFVxEXbE4AesV3ZJLbD04Fps+VqwuvKs
0RicG+pvewtYWuiUo9h2T1AVEPvE5ZSFRV91lwpZq4+GrwXWhfyGMckMQF9N++E0ZCUbJiuZ43tn
aH72/C3jQR3WFhmoo9c/UXgWhoftrZgAVazDe9XplnKIAOjTBM3ZUepYe/DVZvqxqSz6JWIdEVV3
Mqibyty5is4SPdMpCUTt6tRnKQGrKw1Z9kLUUjTLh1Vx6EZCsSrDsKeFTq/TYif3JeJ8UXzw7Wo8
x5OyS/lsZ6NKFLIjcJHUZJJYdhkhIWjdoBQI5YUxyLfJnKyjswjtOXZ4jahvAwg+j0Y/x8zodIGl
XtCnH6JKNDswvaVXcYf6xN/Zp2Uw8l1f5sQZZZuGknFrQ/C5ZwOT9nj+1CHIoy26W0RwR0geUuxB
C9PZHRFw6biScnGjAaIhi1jYlKIGYBz3UKA4ul0blNjgRyEoqNVysOaWz33ESFd6EgNMUDkdVyA+
KRUxZ71YQd+PJKp0kbvDjzycNKaEYZot9lGf3el21Fd0Am2Z71tzHKmcyrW9sfoWjWw2llcojcRp
pbVl7mmUhqvi9g9rwo2Z19lPHJfPm/DfKpz8wyGeLcgs1Lc1vIcnZWSxWbDH9/uKXX86m+KxI6KE
TJKyYgTdGxixrAz1Sa5Biptih97YGFg85/e6Ub24BlrgeOXGphs7ZEN8ZYaXhCX5eKC3qsrPUpUt
3NwXzqFbrdKfc2v7tOvpSdX1JFDl4gKGMNZQKyy5d7RMu1oNmg+OpzzkMW8ebdMoQwty5AyAvR/v
TDdXw3bO5ltmGOsXvTCMV7tE85rkVFdzkyQnexzsJ7zw400zWcXMIdVzptg1Z4eXmpHyrkK/Iw0t
j9fLpuLy0irO7lfJ2ZjHjXOoV3Bzo+Jmt6jcXFQ4fTwT87iO/sCW2596E7x7mrfnkmnI3u5K5ybv
NMjpLn0d+urdHBFhyHBnCMtequDp+FAepiLJw2jVK1rMuODT1vSMG9VhsvqepgsPEUfHXc2XMMx+
EinVLQKb/pL1zvQhsaSFssrXPSEZaqg6zRbXZ6NT653yFeaEcw/vmLy7mK//NaOh1MDRnM18ri5C
jmmwYMF50lyt+NkvxvBmi9h4tNmTPLRtElOrtequaIzxTq6Dc8xUg4FxQVMWQvktOHSTdHxMwUKe
HORi3/SeSxryzHSLb7G6c0TTH8BZiUsPNcafh3bkrpqWx1iUlgP8jTwhhFHDLfNDiQqyiA5qYjL1
zvqcHAWHI7OIL8Lts0MaKek9KXc2Sj8JUibmzA/0bNBIXRiSFZpXg0ggz8pzqhXRcwKeDKRtY/Zf
l1RDHIrcKb3VELIcei3CcrSK+Xs5jLm/6s36pEtd85soQx5VEPUSe3bbP7fxpN2uCZ60dapl7MGD
ybje2uSKU0g8arHUIFllTbBMLfk9uPOSLyiVUYys1nwPSzeKPQ4mMNhpNn9jtlo86YlBFzFagjUB
+iZf1YzVz7gqT+hTHtDPITCPO1Y2w6vaotfVMERPOPJeFyUuqkM92136xTC1qCIzsbZGnkS56mSX
tU4kenN8U+EorDZYdDkjPINO9sG4xAqjHH8WGA2OYLQJTI67TWgMimncTypeq3lu92k+oXWO0+jI
V1kETKGLB71ZhsCsGCnGShO0VvdHvPh/6+N/qo/hN1Kh/ttr/Zf6eP+j7uL01xL595/5125V/Q1i
AS2VrWqfdTLd5R9lsmP+BpnJ0NC6WlS+OKb/XSbrFNN/lMWsWCENQTM16cnwV2r/n6qYXd6ft5xo
b/lnK8INA1UCL/SfW04Xg5QTgbg56E78NuXJ7CF2qkPLVl8Bozzi2z/A72xfnVK8LtMkUKIvO8Sx
p2EBWrEqrXbUp3I59gUKThZp5pGhaLHvFhV/o9ICl5EurtOIYUad2ESTOL2KTK9ovkJDVq+Khq2B
yuFzakFrz7pjx0k5c0Xb10ymzv3EgxIUTXlTTWDoBxRSlDNtG/aKpnELGx1BG0TeyvICWxcu4MDT
LCvmY9fbxJQyKghqe4JltUzjk5aSnRQvc3QkFBV3nyIeGE+Ze+wCXyyjTFkJTQVS2yK5G9RU3GQU
Tr6qVum9sPouNNl13QMiYARdvIwzzwZ9xhvZWuahtOW3Go+qh+puCjqjmb+nlRvf5BOjHN1d4ekV
rYUDZ0IRbHTMKFHh+ZNRzGGh6x/Q9fQdAJgoSHPLoNkYv2lymUg4hBvn5iVe1XYKsrWi4B2qOHRt
l/2fXV3Ltt8NxcKBplyiJSvCUSGRrdER5s12La5uoxWvgzSbL6bMdqU7PaxiKK+Ip53btHC6ERef
jSEQzeMdvUk8hZojMbhWbf46rnX6gNnROOqQWHy00kx2mlh2j62uRI+aIcwbI1/Qwyql2R1YerW3
6OXSc1cX0ytcl/6DEYP7MpdsgoDzj1NgMWa+xRVehv2UG6TYF3hWJ8xdyMxQbhWaNA+D7jRvdprZ
bGFgrrwQfGnifSQ6SNUKcTaqlRAkNPd1jmS76W7xAoFKhkjEh0cGMsFj2+K915rq1PVRlHlrrVan
VgHDB1QKYB1Em3xSPFHjjFPR2aEb18VOw9Xy1dbYZwZzxAbN1NLoJdOK+hGhFyypMq0fRV6Ls04o
zo0xZe4tq63sKxhuNuuuwFK5S4lKZTirzAzhdYSqpkzP48A+jirCQBaWIopap7I76HipoP6ljOZR
BBrfWoy+L0tKhnI32vqRVmzcUvIGPtUOGGGXELPFB6j4EhEls0FVFU+yNqvTvAFDbQ1eWaCiSbzX
2H2/mGO05AfcXrz5FoPG1cYYQAQOWrNrbo31TV+bFkzThe+hcQCjM2WfkzYs2M6FC/svJqBl85Zw
/+1T0iMohWeCX4AD9BY+o6F4aUjUOy+t0X+k7Sr3AL2aH2gd5/sIytvl8zfL0Dc7OzkK/vpC0+yH
eE0U9JedafmkxTkPxsw1aChD+bMoE+OEAWR86jMDywgYVstPtzc+4LC6LqM5PNtzyR8soJocTckh
EtDdLCFZwHKfTUYGDogrLSNxfiUrzpWIxhcSv1DSuaEDMPMyNS4ytSTORt9c2+KFqErty1QpaR0S
d2E/dKwcjuSHzVcxTzUmJYSQWjyC5wUdyalHXOlJKVe+NS2aiN6cyuEDPi3jXrW2LrThy00bCe0a
qZlznVr4BAlXJAUMxo2v6EKRDZslSlzgZfxFlEIPnb1U+a6Ikw1c1Mr9amX1Yxu3eHqKwaXk5tsq
p7J+TOOld/yeWPrBF4N0/Drjk1tsw7wV7TbZtRzEyQFUOHZ9E0lFdjFz1ZNO6aWO88Y4bfE1xI5+
n63nvkrOsl3umTk/yTauPWnWX6vUgb4H+MR17rRhvKhTfJ9sdW4xJIcy636ak3tDWmiBFNf1K82+
zr3Okj3ZD9b6Ene9FWBIcm7Z6XPQRWaY9wqbraX2HQ0J68BzjDRicAh7kQrrajTZM2RQcbYkZziR
h3Fg2Y2OB7HaEgyWMx0ZrIEs6KP6pFd2dC8QzF/ErEEgq+OFDTnxQ3tQZJnnkG0VLk1eenbTdgcp
i8YfnLxNsEGKj4oBg2y1H8Sf1TeYGJobgj7J8dRKcYT0/N6J4VA55gNSto2KPeoXDSfOG2l/r73i
IPysS4+0s3KHonHwyqWSIWHHS5D1UFE9rSPXqbEsHGcIJH2ZZOtHKU1fW5mzmGvS7yBtPFZ4RE5s
ntEuDQm+85UvOLXEbm7HiA5syW+RrDxbi8puxSWBbF5KMqc1/YAiJQ9UZ2zCucojJhLjqYnZ0CmY
uFp13AwINTZXlienjgt/z9xCDZisvKkCQ5TC/gj34k99aa4NiMkfqWanB2Nq1a+2pbCOz/OnQfRE
9i2KDqVK9l7KBsQnm7SH1OeiKHEjo4Vuu3Ie6LI4xNmqC495HWN5rHFu9NiW/Qd+D6JkK2c5z8Dy
mxCCdDr4FV3N4lVrN4YsO5BECetccOY/cFmRq2hFgnJ7McJJG6vaL0clO+RIDAKjZ3feC635we49
D9eSRUlZ03A1zbexqPFSO2BvMyFf1WiVwEh42rtauy0Ux3fVUN9IYt2rS4vNWzSMS3An4XqDkYs6
V7nrDPMZCL2K0AD3W0aX+OqgCCVsVA8G0E63kzPGIUWC84FXQF7xC4jnfGm3GsIGwtkb1nLCRzWZ
ntQiBwKwzJ7pA3IPcGD5o4/sjCzLrjgBKbWJhusJ25KK3PFMn3Z5z8/GpU6KGjlxdpTVD9Ch54B9
C5UVGESPVaBzbmSDlltdiq+TJoCHgFD0TSosr7PSNSi4izjJh3S0fYJrgRfkpeN6oA3jWzQ/uTjR
J4nZS/rVOmsujZvDgE/llohfBmtWLpbAeZ/r2tzyJdZkDXcxjWiejbc4LA2umIr2p27NRvOMdeIx
OI/1uXaEfTLA6qEZQNvOTCZ6cdt0uE45m54Qoyxio8GtiHKMHfNIpZDvhVq3jFaKyC/Q0xhh0s0/
q1LTLiAfhuepS6dDA5XzC5zU2is4C9GFu4k/2djGFKOBP2mvx7ykCiulVE4qmXY+1KL2gPWu91nt
ZH4WAeTDfIFfqMVNuRjFd5vBBGA3gvAIMFbvuohNFXBO7HdaIglJySOfmuGOWevOUJQ9qwRGf876
lnVd3QTkpLJbm1pgJCIXHpwdKCF4533s4sZ+RQYI0mTZd+w9PQ2z3M4senm/boajXNY9Ty7pAOpt
i8c266eDo+fKm45CRODi+DEhKPRa2s2d21hMhsHqQdBAOkGDlwZjt3KL67rmSUe98gStL3iWRg8n
FaR/FS+C3sz7eZrjoNfXR4Bb9nlONcGs2Mn2SyX2IEV6vxBdWMs6/oHbYq8PPPJky3AO9tLI4Gom
7VWiNcbeHQHdi27TuL0akYmCInIydu8opKPMSdwhwJqK3MrS1yvQg7wUN/aoWMRjZuivxRbtPGUx
aGYctdzC/RR7vGGDbpuwvZhHAj5vdrGuSmoRbotimYlEb8kXNSlVMA/GZW6SN5/JAOOUhil0RNnB
eEqOqMBLZDMoIrE5o2PJsWganqVHtXbgafhlLo0HBQPuDls9o1S2gI+RveL9Wtb+HGdmvcMnZdwB
HHltVx3bSWNdU7cmAWYdhmviVogNkI5fWrsxv/dbvGGmVet30YvhbiptZZcK+aND5hBOpibvHCn1
wGZ9gWSG7meD+t27U6HdTrbVXmNKFewrrD/Z5n6F1xEhJBqzb9MQo5pXOkPneU/apZIyGM8I0czb
HpejTJm/NUThNgTu7efBIGHScZ8IQZk9MzduVp1Cm7jGD1tjEIf1vztbIveL2nhPCq0PouF/2Duz
5biRbMv+Sv8AZHDM3m8diDnI4EyKeoFRE+Z5xtff5UypW6KypM56TrO6VQ9XEgIBhPvxc/ZeO5ZH
kLlOscGqRtEfzk33UbfG7rOb2jS5xgIylIfzyHRiG0+IvNOHXuoI/4dFW6dDlx6Qini0UxZrvrCA
At+Q/Lc8ZYR6XrZR/okDaEjejIE4aTV2i32aiwCxYRF9qvOcXR8L6md3cNSaFXQdwFF6ZI3QsafA
2dwYhjnddkQj+dRAtybW3SszWZSQBDrCkZZqjfZ14ZeGTOzRAZB+qiuzuCBkx4PHPnfZlYr7Jg4R
ys9HFB90L4MknrZKqUKKimzU5Dz2SuqATHqfPcT/kT+EtriNoVA/dY2LrtbMi49LRPbTaghMS2PJ
d7HA9fpY3BcU/RtbLN4pKLty27IwboBDHWLYOCt8fDEb9JKe47Afn5HhirVTuzDE7SJChQUsu1wZ
XPyqxnR3hUEj4uAby+7eNPQmRH9T1uT5YB5hH1xIwI5Hpgprs2X63tTt8DVq83zvml28b9BD0Gcr
vqQTZKp2DlyOj+1F2qBmqMLGu4VDP1yHUVfdmolc1ulYU90SIYqBv/Q2TWDGa+bMAUrL+IGDH/mI
Miq3WpJ7BBVrYfOXrP/frs8fuj5KCP67po//QvQdpuSf+z5//a1vbR8hrHfCRNGlq7ww27P5B7+1
fYRhvWPADk/L0l+DarCVfFPWW8Y7Bg0efAhLSepfO0Lf20AEK5r8gy7KeFoOEBD/SR/oTWoTJleC
9wyBCN41dRMq2Js2ECnkEFh6cnOL0SQzbeQcvypNAOd+6o4DOhibLPuJhvVG19PuuSMt9yFlJsNB
Wxb10w/f3t9o78XP/pHXT4NQTuH0yMTwmBz/3JSyCgp6GfXDmW60OKO8L4JV75bY9xGxwBsfRqt/
doeKQy29+q72QZjSPgCH7lp45dzis+w6/Yp/I8LGmmXiAeyjJ3azYwdfBDT2afv7T2y80Uq8EhUd
1CDSwLRAdf6GQmnFgAiYFnRn8gZCjjOkJjwMDNvNbYfwnHJxnkSCWhvH+4KuNl5Rtpu7HNedAABR
dp+jqW0Fe0ZlrwHPlHif80hnvNrYKSDyMomu0x6ODHZmguZ1XT62UX0iYQEJbtxqjspfHvLd7+/q
18fAWF53eRAO74b5etM/oFXxJ2BXrrL2TKyYfCxDptIr5Fq8GlVBQDMKU3lXBSJ7//vLqnftB8Yh
tEgkBJ5rolrS1X+pj/XDZTlJhlbVhsW58BZxhh/fn8H1QeQPosffX+mNkuf1SogBsCphK5Ou9+Y9
qxDCLTUknTNwNpowY4laOOi82UBOHm102lOLb+qzV/qJSQ3+p5dGvRQ/3ygvisHcGnCtw+rw5vKu
a8ZorOhCuXVqv+RJb7+kmfoM9pK3G+y+JZJjHv1uzGr01HVaul/gBZBHIWfrYnJw/PvmmMDySeDp
PZhNZZjryJvnL5U2VGtdAzLk2xLi7R4t0dL/tR18mv53+AVVZoaSp/gxMEf8+qBAlbJsANkkOAcB
z88PSnd6u7AZv12KPshf4kbJdIWWdgUT55msryNCzPQjCHvIaksN6hsLH4nrYnC/dtRspT9H+BOs
Mhm+oJPHWWJzIviDjwcC7NtvmVMUL5EDPEEgn3Lf6D6cxot1aO/mZYIXI5DeupPRQtWFbHNLO7kH
T13rN3S96FEAF8FEQ25zazTVLrMqcteyOr+tyHqd8GiM4dOY5OVhRnG+quy6eoCKRWcMfrXfl0kS
E2SERYlypS3OY6W12KZx2IahkMkKfz/eP4Tl+R56UnZrJOF1CA1rWmW9W5+7oL7vjFwz17RF+CLj
2WBtsPplWemjl1xkke09B5z7j5HjiYsFsyMJ0HqER4NnGR/QemOFHvFf4IWxtfWSTJ+qFvJYDzwb
HWbeuVtObv2B7FDjvo5Ixd0FLrO81RKlwUdJ3A3AkqLWPvQ51LyqajEEg087iFpmn4nGdvjdm3l6
F8tgolLBKXrEAtL7M98D3l1DXkEHmjY4VOutEJMYNpnNXBKaHdEgjJmjgOmp2cBAkVeMQ0MdS0DZ
7dlqjNEn4sDByetm76dcj05GI6s7G/7ErpeJZmxbJ19ePKdsNpgfEoLU0cJuNSy0L4B0xq8ATyvq
RbCDPcduYwi3U5eU/DjGcTOHA2LGBpkYclcz3xf8UZDQVlPyRcPL4+SSJBoUhBFHJurTZYWSO/DN
Tity8AzphkPGrN+MprDWcUuFvEp4k7otPVzZ7ibTnS4ccAFZAPK47vJ8BXsJtNXnCHWasTy3IwJB
UAGyYSkvPxlznnRmA7mk7yv93KUdBFFQFPWyA5baBVAnY8CDr41nnazEQzLTDPZ7ngEmMCha4BIi
SGZrDhbshx2t7HpDumCo+8ilRXAV1cgqUKnM7hit54mo+gun7UylmQtK0Y5+z164dbQoCa4GfjpO
6Nd4b3jhTMIRt0UWN0hCazYvEP2wiHwtkELi/g10unNlG2BPiCQ5n1uU7BmN/ICqYGsXYb743mKz
YhYG6mM/jxpOyWiBw/Ya9gUk9DKMva9aP7ixvtZLowO16fXe2Yb3RQlrYjpghlxMbb3M+1ZndQNN
FUau6jcMCxLPpi3i7Zw5+bzX2zavfNtAiOm7WAgYOCFX1Hweq/GkVTk1O/CXNF/zf7p2BQxJY36L
JeopyXOZH8xGdtkmjTrnduk7E5Qe4Axxisao5WzhRkbU7YJmqIo7NmPziI/ZSLd9xSfYlF0WLhwX
pgX7cTJX42XuQcvcaPxUGjisoj82pm1n6zBAgL124R5Xq9htqU8Kko6XL1jKpQMtqYMkRahXVB+E
Hlt7DLqp44Mqrc11XMbBekGihAd+bCpJ6s+YWL4Jqn1hOp4s2kkPMmsrqgBeoIs3ruIATDQNcy3B
ODiVVsSohj+3EhJ3GK9PCMJ6GmMQL9CJtA8N7vyZfAl+R8ZZMFfiAOINlmbezxkH+rNTYePDdlZ3
l3ZfsCWFOJX5CzJHWLclgkkUz8xgiuhYI2abtu1oL/EJPXR3b2F+frFRTODMR+KFMhljs7lpnYXe
PDiSBJ2NSfydjxF8ExNB9JxxsjZWSZgMd5i0x49VE5lwkEYOU16K4RXQTcC/Y2clIVSY18QZ0pRp
3bSdLe5pDfMnRpTaHsqg2Z02BJ4kHK4AdgHOczFgXsWaK1HB1+rlTJK63blZy0F+QjlBw7MeeTbR
WPDBSgiL4sQOJh+x0vN256ySzdoTcioPXSsD4zppYGjeGl4hrcNkJWN/2dF3o/jEK3ZtpxpnyXLM
uXRZLgsoICPvFjCQrrp59dFH1ic+FxiJMz5M7qKnpUb8QFqmiy9TZPl+lYVpfFOQ0AQiracqCPn/
saYaXRFd1cKaIRuYVaTzuMdm6i9zLYISEjOmBQqmu3iaZpreatHgx+RzRywgIJFUndwV+SOQJHmE
i07Tn5CjlPcC1twL2io+Bj7O+dbsJr09hZS5yQkVWJrceewWu7bQxbmWYf1swRquVZBObBxLL5T9
iVBVCBVz49aIv8Gx75AM03XV3Xr+lGa4Faa+BeJSk8mcPo1OHrZ74Gj515koWtaQuM6iNecAz9zE
xqwa504unzQ9YPI5VmENFI9lbm7G6DaGcXyCQJXYa5sGPOkSmW2xHUWGfGwSbQg3GIz4mSxaYMqD
VZSi/pKzICNlF7xSG7iWvCOJDU5pC2Bp2LDJjPVJNL3hYGDLsOplkTnolN518qGRg7zXZsr04yI7
JgpAbOd2lQvhDjAyDf6pibYE6NMRBvih4rEwtQXPwER2GLrLaXZBBw1tvfLcdm/lIAz2y6iQxtDn
2mVXZWlZXhbOZF1oHXieDVrmfDiF81hFvme3eXRPJdJ+1qFV08lw43bAZ9uOQGHGwcMYCnrrLgPn
F78XJf7Xgcmols4PVQc5kX8M3OcmImstPGpBNX6MQl0bSFhqnRTXqC5uplYLll0DMS9GNd/zkuKJ
SczrKc0W+5w7lcLyVYPuXFoCB7I/U920mxGKIABur4gVP8xlcO61LRLAyZya9ZCB38Rgx2BwlVpT
6K7nYMZCi1/FqZ8ApYj7JGp419jp5CPvet5eF7Igy7s3KsmEJ4/AGU79MyFioydWaTq4DzbcvnE9
QjK3AKtm3nCLMlDCHwt5ozdMf3maHBzm6SI2u7S8cJsqMq9hUGbOgUQ/yX1NkxZepo1Wjeu8Bea1
ohrru0tminz+htSebRt5acTgSdcPzDb53TOHdHGbB5F7+Xrw+LeT8odOCoUCh5z/LJ/5P6RcFu1L
+5PE/PXvfJfPSKTkCEOo5i3HAPOPlPy7ytx6h8RcknDJbEZ1WDijfycUOEplzjlWSb+paZQ2/Xsf
xaTFIvjT+KZdScDrPyIWKPnNT2c6YmH5D1EOrhAEsNhv4wBIqDQ4NfQWDikPxLFNqENTdEx3iYQ9
8kPl5//qjyxHrJKww90LOr4MATxlpWTET0yJsldSWgHAwzpxpvdh3jscLVCl4ZxZh63lnhEztziI
h/g+R35H8jQmzjx0xIeyCoi/SvD50lbZEIFefxyU/XN6dYLGr67Qtq+WTyT5MY0PQsDmwZQad6Q+
pEdoP8UpUPbSHpm6iYf8skQH4VN7AohJ8ugohpbNK84pAnPNMdeGMq6S3oWHNcDNWiInYE3z5MVM
/z6B/TkZN5OGc9SNscIKZYqdX/2xQ2nWW/wC2Q7lb/helSlnVq5rMQFgC/DYQgZjSKlst0UNeHGl
0yNmmDmrkwwGXU8or26TY9tFZ2ytREKNQRI8rt4Gd87OzvTqM2K9ems29G5rZQQulCW4fnUHT69G
YWUZlso8PFrYiHVlKO7QkD+VymTc9dF40ynjsVQWZJh15k2obMkQaGnIm8l0g1eHORW4ri1AUYzM
ytKcm/j1QCe622rIBgTRKbeBUoTOCXboQRmja2WR1vBKx409+ybuaQMXtUVo4KYnvpQ8PCzWLV7r
XJmuNU87gLrChl2Xy5OlrNm1MmmHEMfgRnQxNF5r3CEtCw6GsnWLV4e31PD5RuButI25JChnlRk8
nLGFuzW+uURZxYPKGe+qYazvGfXGl5jP9cvx1V3eK6M5doj2Iun17M4qrWoHhMlAdkTG6N7G0QDw
AenSzTK78WUYWst2dl12C02Z29msUCsWHZb3uDUHhbvXr6UyxJev3vhE2eSVevocOE62h+9unhxl
p88rB7yh58bva2W2L8LKvgEVtewnyqszm5d5MpQ9v1FGfUaj7T1DaekTu5Ad8F6iYQ9QSMrC9ugd
VsZzoYz/dQgCgKDLap8kGbi6XCECxldYALZKQ+EDhhLxgKZj2VVogaiHowS0mAmYUQXuC2jsL3YN
jCCcK4DN6JRxegTW1uXgtJ7dAnccHAOGuBANtNAynl2vuC8Hc3lsW8AHi0IglK80hImD79EG9syB
kArzHL2SE0YFUWCrTq7BjEBWsCCSfIJfFO2KATUzPofsgS5G7g+mxvR8QOCeKFTDqKANTg9U1yNg
785lyADWUUJ3YBJ838F7oNZ0jiUEiIIcHn9B14o4WgEiTIWKsGFGODPGBSdYigNYKxBMFdPsXkEm
aLTGiLXzYAvkk4lNy3QqUFiKqtWtLwvQTN9Mk8hfFL4iUSALgjGmB7eomCYZeenzQDE+NAp+UTsA
ObVm4swIGKN+ZWRIubWxL2ANB2QAMAsHenYzKLCGFqDASRVsI1HYjQI6DJPNUR8Q24DlMJUzPbD0
NbxddwdnlJI/E71GoWN67+m34sauXkkfBAOVBJ2B/1jaMt1pU8cxZ55tejzD5Ch8FLOcMJg3fbG0
TMPKHpmTlMNDiDYhQTAt4dA1IdRgrYUpAm5bP4VohS8Zh+kbIbT34BEatDMhTZ44kwilnFr3ZVMw
VdbiJ4aX+iHTAcSVelKvjCQtP2aE7DF3iuSNDWbxgMJ6QmNCMOJN3GlAYdzCtxkXvziJi3sSY961
TvOjw69p6ufBY2TvIUZn/uxlzgaovHyU7BrnhSyJp8az4ot8GT5IIqT37IiLD+JuOLchI8ZiGJOL
NnGQZM6avMh7q7nukqC+TPSxhnQXZ9CM82pDkyDcCgkmFfRBtbHb2nxKOdHsHaYEDJ28chtNifFl
ccMeC7isXiyzBjMAwMZ6r5ybDx0tPlz7cSq3zK3CHehWUJxzSGUsguhaiJhFXEIUG7DS3uk9X30R
2ct6nrtq006Gd0KyhQFgysroynSTkRdNjFj7LZsQAb1fdnNo9rsCYf0hlUv1kPXkdogq2eDaWq5T
2hqbahgY/c2dvoCT1OhIYmHaOnU5nMUQGkcpwvTDWAO3GA0k7YNgu435iZ/awKj2tKdJgU7rRj5j
Mo7XeTHq77OgCfasTNEh6FCeYnO7XvpE+1Qh9T1Wnadtc1IBrkRcZAfb0ggsxLF8k82j9xCOXrAV
eq3fRUMMrnRwAw3Ct+Zszchtzs1cfyzgP2Jj6Fn++6Zb4BJOVkh3aRRrynpyGVrtZBe6Af2zaGLm
LpAviYheiaIn+CFPYx12AtKaLEmS8L63KURWSQ9k3S9M2d2gK8v2ZcRPGkcFgs/V0jYjnY7Aq79K
iOSHIYto7k+jdhEDPJ+hgF8PNHb2nd0/o9l7BTxgcaAk7z+mnfMM+/1FD/qvbrY8e+V0Wwg4hNoy
VlyvhtoCj3LT1PE9eqrqSFvXvR+q1HiEy1B8ov8xPTUBf3EoOLe/OPHcNSniJu4CjVPd1kO3y7DY
LM4lpRagwhX9F93mbFh2FjjaOMKoYLtwAabeu667enbet07wtSery9tnw8iDI8vEQCvFCc8PSn2H
QrLCbAHB7jKuaq18rlhAqb3ksBZTkG7rdA7zo6dR9bdjYqwp8tKToD177JvYfbZpcn7Q3QBbSTBF
2cmNbNHcwySNgh3Olmwp8GSPEGlXYWcnnz3GOdqDXQeTvRERoe3koMDmP9RubK4LTUdDIks8+E77
BLtoxG8XZmt95kl2ofUEFm3cO3FFSjRehzN/ctpKMgJ9KPQQZayLXho07HSNwVJKIsIjXGJtTy3y
UCxRtonwYR7ZQYiF1eKQUJNM+GEhZuhRYX1ueJrHpSPnM4rHFxUGemyko61aS0OeV6BqBvRBuWUu
BvAJ22xOMWCgYEumHKnYZdDtCbbBhV578a6FQ+7PgXWTI3ZbJ7UWHhaLiHOySbBE50Z87HTiOwTu
d2Yx1UUUOFD2Q7f+0JtO5kNWnXdxPcTQR1u5oSMcbJo4KzdjgIB6VWIAWnUcG31ESN6+19EkdZmR
72w90L9aPbBEv0orjHErBm3is+MVjvfUImBz20+9pYYqD0ENxaPz6S9g1ft3HP6XsfcPhzga3YIh
y38+xd0pA+//Wr+kZffy40nu21/8dpSTzjvLQhhrU0xwVMLk+3+PctDn3jEOJ2uQU9wbw7D9TjLP
4YGa8pvL+NtJjmE5fFygcw50UYfoqX/kFzbMt9M52h821g0hGA0auv06pP5hDCn1lrEnwHVIx3CH
POVaW5R/LVdONogT7RoEu3FrvvrclONNKO8bQMRoHab44UjMyk9ma+S+qDtvz9qGcS5IksKnJ5X4
rvLVpRjswsrcW2kHFkp57wB1Po6Y8UblyqOt79FNwqknXj17yr0nlY+vfbX01VZm3HXK51dVhosl
KszP1ji09yz5YCPczlqTxJ191jELonF/gPr91aw6umlBfzMzrb5NShyG9WhjNsS7lt9iVeyPHOLq
ExZOtppJORSpY9GZZMV0MY+OyzkTj1KiPI2Wcjd2yudIYbM465Cv89w4YB9Wo/JEDq/2SPfVKgkG
bN4vyj+pKyclszP7Qm9YrDPjtlJuS3RyggMP3NiAfI5EeTJDD3dmqnyaRFcE2055N3lhyo2n/Jy1
cnbGY01SMV5PHlZ+WpT/07U1jqTKExoodygLQbWdjHAq9tOrfdRWTlJW7LvaLlCvzdEjB0jjYcxt
h4auOzwXnEgRUOJK1WcTPm8FGlffUIswGfHJjhT6aeBQvtwVnCzTfhOPpafR5ZyEu6zKrNeWbe+A
GV4hbW3xj6B+xE5pdaCb2Bvm29osvLMMpa7RQqsZ/zW0a8ddbrTN3nDtaUeRjp4yFhbAjFy5P91O
7xgraXnUrbyFAxXbRGxfuCkD4EQFsmy0dNHIlMdZwXgKQO1Zo2ivtDXBF1O47MqqWZrmskwyEuyh
W+MvdIktNgegyH41gFcsji76cqd5Lo3Avm2WihBo7KJlzDFyBY24ScaboEtzWEil5wJJc5dhGLcE
cal6zFoQZN5Kuuez8wDCtNXvNFLfvXCD6TLLJVL6HKLDlnLWm6ikU4eUpekSvDl8nS1dyqL3KcEE
J+9quhnZ+RmjJUUN0pqgZbDXWjitY2FLFYrXslfE86A9Rqkdp2uDBuS86px8ArqkU10xtfhsL6GK
gqmN4LbIIq3y6QlxLEiY6z8GpLTnZ42ke+HnMOuulmF0hm2muSNT3DoqC/wQRXEEhhjtyyLT6Iy6
ZuiPXj/fNTQDwxXHsOkppeJHFVY75oc6stAVhnl4paKyrhziuzfdUBHUw6Bk3PEBdE7XpILnCCOR
c3OgjeeiunbIDX8E8IfQ06Wxz+iReh0cmBTNwUgSfEqkax28ytXGld12wGLDbrLXQkOWRohS4fLI
l5TAQEal80rQBN9EetvdMmQrrhnrhTsXqmIkBvuKtInwPsiq6VRlJABA8wuX53+7mkUXd/MfNkSD
MBR2j/+8IV4BnPpxI/z2F773NPV3NsoEXQlRbDqkJi3S75ZA6x1TCVqJrofIQliq3fldGybeSZft
TpoCeQ4OPnQN33ua3juTaAnB/sjMhMPKP+ppvpV5WC7CCQ/RmqskKgaMjp9lHsGoIcVF6HEYJr0K
1kaypEAmq+BoW9aAi8hun4h5hzbaQCTlNB4cvayrnuGiTw92gZnLcpL2STeL9imEeb354Zv8GxXK
G3mH+nQGJ1mbD2iAOX6Fy/y4TfdeEwhOk4dksMoXmyHFda1HxUXxSjytmcXvZKUPfluV8Fl/f210
JD+3eylRTNsTFnASHZ0eEJM33w15X5XTx/WBGfb7vCZBggNSLC9T2ZTO2qls9wLmDe0Ac3bc02TJ
+IGo8PjDtBTLZ7fnpLOultk8hlnYbvBmZbsuY8DI0al0btCU4QCH2mgfAuQbF4Lx0tZi/1zhq8A7
MuVS+NbQ5leRMeuVD3xB+LpXw4kY0Vit+35hZfT6SKvZXp1pNSSO8Rx6Rboq2wRod+uVJ7eldMGx
199GRVtsy9kq2K0w4WGvqyXCWpb4hNGzpT9pTaMxkXXvewB4lCoLYUe0eKvi3DDn2WiRhly5Kc1h
Tz5rwKK9mCrjDAH7goiwptOCYqGKAJ3mxkRHFVAeA+5Wigt7TIK108zdE0NhrNaxTruHBS5SoEsC
ypSUft6SYuPsJknPlXwURmBoLetbiXfkRm/jWKwTFtfnrNSxmhauztg2IuRq7M0m3g7m5M1sqa5z
OwVeSP+orp1sRdekuxd9GW2Kzh37g+K5wg4x2HQnEE+RT9pRG6yw6+ioj1PUewWbIKQs26mEtrHo
+5yKqdFHWkCxMTKao2xJmsXisSaatbcxOMELhOuG/ct+7yazt4HfV1ynBc2wNgRIDzgOAbGFn4FG
nz6JrZ4kzbbpRvt6zgxtR8Ze+LmODFwkeryV3TCs+aXKA4e8/HYx5sFcdeTMHpfES9ae3bkvkdtV
+yXXl43Mqm4/46Rbtp3RkeLhJmzQPuIOol0HUrN2kPrEKSB25yg9ETyaidHvCc9QnDbo8F8smm5X
ohQTOPXCzb8wYUlRPy+1uartmKRa+ig1LbVhsU1M842TrPnt3UUh/I1zn8a9zZ4b5HSZRZPHU7Wq
3YLk2MAM6tBPJhgeK6/q0s9FEgWMo7sm2Rl6OX5m5kd+65BGORjOqmAAeUk91sQvQ5zRxpXFYBnA
CaA+L/1i0mIzk+G9M8F2I/bPKF8WzYRIGMh+IuxB1Brck6BPCEaQXR3RmCyteNP1TaFtysCbLwd4
G7Pf6qRfbPpBW+I7Cr953v81RtcYFAarsmjycE2MXlh9wDwImiIl9BQy4wzV3A/HVN8vNVCqiHSg
iyZS+a61bpYvBK2YBwEBTuUZMLKf0za9FS6LZjhF3D8OmuKKshviZl/W0tcMydUadW/ISmwKjkWM
mxonc7uKBquF70NE1aqJBz4909VlX5cT5UQ5Vs+4ncvncTBgQkt7qIZ1NPJD3nAknrRVr0/9Rx35
gn6ZMHgA1RuMCAMqoypfGuzbJAFo2bJ9Xcoldx6RDNsbmy4hqot77QblN1kes9bENOmno7mkyJ8C
I8iWNTuBmF/svm/0SkkLdP4nDZnh8R7BeKaXWgqgIu/x42UxoSSaXbz0c8fgdW6W9lSCEjnXreAT
D7hXtO3YA1/An40IrwZYcTUXOGBXNH5IFsE5ON30cWhckWbDD4s+eXbV2Mj0fDpFhLx6M1mdAC07
Y6UTF5Ff5ARg4BXgE/Du5pV1KJgIEntZE3+2wv8d9GsEpu4HqJwjeaBxk0ofkU8hcKvjy1v1EQih
VVS743MpCMuKHJyzaw+/5ipAuk2THVhZOrblR1wkD5g3nMMgZWLvRCdhPjmZma211ArgoUQe9Zjw
YujGJBcFvmWTdyXAxF2iOQjI+dLm4iLKxubeSPtJuW17oiBokylnuYi25ZhuEqPUFpw+9nRhZUmJ
9mKILnp3adoVA5fsMFH42RtvasTJ1LLuIJGhuZSPgUZCJ/fFLct5jQsjK6GW567hO3bbenQUDaw4
c+cW8w4Z+MzqNzhJs2YdD32iki0wKCz4bW62T/8Wjv8/haMaFTNA/s+F4xa5b/z5pybKt7/z/2pH
/gm6E1gHwDe8Spi/147uOzTbgHQkEl3oZ2ro/X0eLt7R2JAWtSOzasM1Kem+1Y6YEVQdxSRcp5Oi
6sp/4it4W5wBcLVRNzMKp6dr6m+LsxAtxeKBCt4bRk8bjoEKg2NonvLC6hW5Hs9hgf21j4s1vEtv
/cN39Tel4Rt9MsowJpKe4PtR9EKD0f5PQnJC9RYy0qduN/bGsHHn3AH8amRM7OJ8/19cSnq2jpYc
n5fz5lIN+48Qud3tLNGQ/25ASjNbpidU1PV/cVd8lfIVEULJyZHgR3n8IqaU9DGLDvk0xUwIlnrd
dCQ1d5PbH35/V0rA/YNA/fULNLknC9K+QZ315q4wW8DysPkCZRzgupgNRGm983UC5hEWAT2s0tTI
OwpgeqJd8n9/cXWs+PXigCHVW8yx6M19QiQgRbKCKaaVlsN8f6JIE1Z98fur/PqO0OQThut56EnI
R3lzlTb0zHaog56GPFUa72bRdit7ql1ldczRa//+cm8sFXyjtrLxoEIRBq/J22QUux4MMxJdvwtn
hwj0tPnimsZXL8RnLrL85ABN+MMZ5dev0TYMQFA2vVZLMMH/+XUJIkYusBJ6NUu0IRvLjIclyz+c
wtTX9PPD4ipIvMFHgrAhNeTnq9CMJzK8Tnso3gO2a027CBG/01czyNqhyv/n3+KPV3vz0BxLJzTd
zvqdN+DJDHBEh0OOIJ/2zqqUslvBDP34+0saHMJ/uUOPM55tYuThhWTd/vFnN0ep440jPzsRORal
h5U9hoSwH0i2ZDZRhum6r2/dYfb8OoOL4XS6d6xsc9+HTbkbejlsaIAx6Rnd6tM0mdphdujmGpCn
76DhUW5HIeEV9fKHhUn8zfMngYduAI12Wulv3zivReJTkvq0i0f6gtRUY6p4HjYkA83UV3ErarA7
5QiVK62gtk3WByICputeeNXZZeTrk9Mgr5Bmhn/4Ldh/+9FYn9UvHNbsW39RIjOE8+RPYsaIsNFG
9hoXExG6ntNt2jpsH6bYBCA5OuSGl4zYjlORNBco0PFT5hMd84FoWFxoinJS6CsTOfQ6KDx9VRjh
fAp7ozkbzqIdlhQ9ATNFdD6ujcO0a+Rjjxb6EZhG4Etk1X5jae4W93VMmdV4m76cjl1KQUVcI5C4
wIZgmdmnyEofevjd59SazdVMBbxtTGBso9ZdlVKV4jEtYHzoxI4SY3FBsoc6NQP3SArkVoE9f01n
87bzCGUl24XpqhN1V/zLxfb3b+uvy4xn2xQG/OrJpHLdNy/r1IZ2b4/qobfRGfxahHtKP4h4uu+X
oNr0Paer/+KKCG2Z+JHaw3rz889DNtNAAHDa7ZogOAhSnjIRfpKFddGY2AYQxL7//fV+Xbc9G70e
J12ckZQ+b5a1FsYL4Oe+g3pBoLVBDsQhJM9x4xnNvP79pX59TT10fo7qMkkc+G8lfWEPOmnEo7eT
5K+dSq0WUHJ79w9f4N9ehSkYZQoSer7Dn7/AXEcO3Y18gZrT6Ew3XKntke1717+/mbdOT3Yg7gY1
IR09jHZsRz9fJ8UCIFD3c3SbRLlG7JFsnYmTrdMWJVLX1qWk4MXX6XgfG+8JhfWutNL4T8vSm8bZ
68eghAFgJmh40tn8+WMQAmAt8eC2Owsp2WbE3rLF49BtMbHHnm9ai3VgGC03jV5+ycrRvU27ZNyF
tj5c5stiHvHSBH94Am+beX99Jlx3HtNFSc36ZlsJIUKAlDbbHVGKxUFv7I3UoYwv6NjOAcIoP3JJ
p8gQ+YOL1earXuXSOTExfsC+S6we2ZdMTMM59Yg3WcYPqEMMH0xGdTcXfQyaLLb3dhiNx2LOzojN
/lRc/P0NSCFMckixGqtG8o97FJEEMp+9kS81mm9DbPDbfrTCh4hVzK9q0gGI4dD93HU6dqwmp8GA
qSp279vGkQq+HfikyA6MEEp5Uy5uee9Zy5fFDoqjCRRiixJ/hpmcaOwVXbbFclP9YUsQ6rH/XEcg
xf3hDt68nWNHLnBYzu1u1pLwGCyyOHb2BBtT09dd3LDI9w5H9EQ/0KBRTV3kfL//gZh/+2ZKT4c/
5xk0BNUP9YeGMt0Da8QL2Kp0dvIaQJTZHymrrl2rLVaZ1D+X2TA9EVYQfcKV2vUDnazSiNaQ0sAS
hO3W0FsAUg6mhBE3DmAio6/8iAvuJpsgWCsJxReAHYKl0kWzB5NTT/CiafKJMGXijAYbQp4tsj2A
lhd30O+cmQuFlqBZg+XM/sN3/mvpRpqvDv2PCoGxuTqQ/ni/tgEALkhYEOokeyoC8sJolGkLCsWS
rt4f6sS/WbYdamBOnsz1qRXfnCjaDDprw6KzAwX9VWLpZddGJ2zhpvof9s5ryW7l2rL/0u9QwCRc
RPeN6O3LWxbNC4JkseBtAgkkvr5Hsihdss65ZKifFSHpiKeK28AkVq4155h/eCfzSm+uJN7JGLKF
CEL7bWFP0u7UhaBijnpIH0vHS9+DEQbfVWt2E74ukaragRWdJ4GT/eES+punb2ALlAgeVnqbwvvX
I8pstneTwpbHKdQf8RPfLmF/b4vkpQrHL2x5gz88oL7Xnn/5rj6iCIe8TBiOb05hrCy55DmXLNvw
5p6G97WrE6AkdM22RGF9w0fz2OYVrCHdUdxAaN0qmQ4ontc/fPW/vZhQvfNk8TDvv30s5xOswUxx
/85RO+7sDiK4wAi5oWVIDykrXn5/s/7NQxMvgMdpRsLP9OzNih0Q32UGy5xkPSzHtHOS7Urb/g97
xL89vg6dDK4kDu9fJmCFdNLWwZN+ZI8M4FctZIo3xI8GCdrsGU8rIChyvi3dV2iX0npLN6DCPWld
rLDB/3C//nVTjlmdXSGbcugP/tv7ddaTQYvRe/XUaO9xUGNcGdYrrSC/pbVjbTtZN0eGAC65g5P9
h9vq7TTQPCRZFxl3+dTtAC3eXGtjqvCPkShzRHWffenCwUBghnS8kczn8R8HLfC+duIFiNaJaR2r
oK98wsWQ/23qPiQAZCZz50plXkoG2zhOjmkuyuffXxl/s9AQKECWBLc+dc7bLNYMKDmN+aA/Bksy
HCaB0UswQthTy+d/OCR/81ZohRhEomEDxvG295MXjgQ9F/akqCX1i/B0eAeVviZiL7D/P74WNajP
INi01P6yqjEKWccuEv0RW8Zwh3MmYGIXJhfFYKRY/2o03r6uHj+7+/9mEeOdaItQIuLtf7tvdFe0
ju3EO+Ue2XDJ2HQPiBfcPU83pAdgmIj8yvQflo+/PZTsrwVOHgfx15v7OU3tBne+3x/RZqht7cNB
yova3Q02jf/ff7/vA/K3TwgqDTsGlsp4nRXr12U6KkU7pavDJSIGuz8EyI+hTGRiZp5RJ4bqPUh3
F1CTE97jqdk6sHOclv2KnbXGleBzc+UePcazROrqycXvke2GpoymHba5AC1n0mefkelaVyVpLvKQ
ZhVBoZIYxwwRLz0iRGAocXax8gHrztAw9IVvATrNMVKue7gNWUFiT+Y8BpOLpbkSi+8eCqdegj2u
kcz9EM9OXn8LCpol6aZjB5NdLNngJSYBfMjeyap19FnV0F074gyuxd6yO+e8XpfFOsqpVPLar4n6
uRIMaZO7QOLoNdE/1oztcpDlgnoqLptdgy01JaCpMZpb3wOeNpFt9aCsOEDn2VjtyRlKGC06HRho
xln+VMvAA1BIqGJxhsA17bbR1EJs1SVg9D2qm2a4ZGAfkmsXxB3QXSlnYkixR+oFZh5m84vawqVH
36Hu3F1X+6a4Amfpfg4xSmgkbEDV10i0w0NHKBc+gFEW+pbpsXpocsape231cXhvtzUqpEmrdDqj
iF0OfbSQ6SAYFQEAhqe4bqUs4mMzGBRolZj2n80MDsuQ9KN35HnDqarq1sD/MGtgdOj8Ux1Nd/R5
D5MCrJsYxG5lQW0bmwD0Q10sJ8tQubw+vplg80KwOiwG1ptA7SWjEvUZhuujK8p5R2pPfUgnde4p
cL8uuv8CWCA8NFDAk4EC47d+Fp41A4sHVCgF6OAAw8SeSJDgKAxYmIp53RQGNiwNdjgcMUoKklw3
DUzitQdOzPB73UCOBThbPcEh2gcGZOzH9bB3DNy4NJhjZOTORWTQx1AT8GKEwCzIH3taDCDZh5Sc
G2QyLpzkLIkFVPiinCgqZAg/TwCtMbhlNHBnvQEw56tmYryWNyXdpWUWw3m5LO5utct+v4zMTpn3
KtBCGFlmUgNyA3pOInGPk3nZk5CWHdZ1wLxgAYZOviOiKV3vE4ONbgxAujEoaT32sHqhP78EBjTN
hLLbRQY+HbatfzYYIHWImPDMs3P3TGpw1TQpzl3gP8RRO4fS1x9qg7Zu8uQU+uIhn/QHfOvNfrbB
J6Ow+FB/h2ilIBbP1BSi1zaMrdVnjmaoW9LwtyCeRnvbMLkqQ+cShtOVGWIXUDV126dQvOSEw2MG
7DUawhfhgUw9gX5JQ/+KDAcsN0Swpo7Ui5BQwvQrMYxoT8MPYyj8HSdGpWnoYq0hjaHfQzPgcvG8
r11Iw7vwO6DMNayywlDLOsMv6w3JrDBMs6h0zuwp1UAK4J0FhnzG/2n3CzfEPkFao+VlpOd0lh9J
1A1lv9EE28zlbpXu8NFyPEQJKYpzC1N3dyT4t/26hGvZnbyycqddHQ2h2ujWAe5sWcGIMyyMBnDO
WvnWOe1ZG6Jo2+PJHzhSeJOaardGtXrM6OrfulXhPiZ1U+ZncxFA2QaGce3MbgTaUc0rGlSacVku
7S+BnVBP0t/t9uFqVxcdD9mvo4zSYG9gNtti9nPvcllk8CBUmbzENPfB/TYBc+YuUfZu1dHyjjlT
/TJ0A8YqXUvnE3SCYccWDYlc43YfwSXMO+gA+jhSsTxGGIE+KsnraAtYdzu6/Tmw7Yo8lkacgfaR
7+nCMQYpyF45wJPhSsi8uP+QAT352ncIUsvF6j+EvZufiiEZqzN8leUB1rN877fQE4COzJCxE78e
dxO2DCLrXcvHH05EdBoEPphL1zubCKPehSYVi11pPBxK9k31qe7ABW3GPFVPfTIbLgXE0oh8jDnJ
t60t0BPUjAaxxWWVuQat+RzbYPZg16hA2xDP+wHSa2c9QTPgK4YGu3WRuisfNSjVk3KXab5KkyS9
ySO8fND01qsW4uSlyASv6nX5Udh58KBG10f7qsP+PCCw4waTePeJ1h0URVCWZCNwq+4bQk4O67SU
JHcuJikuREeKnEOFyIFJ7uUm6rmpOLs04fvzso7FTZhl3ZdBpcOdWAl9lDnHOy9KPHU4+hmnc1DB
LOoLi0vzrvOH7otvdpjbJlgRE5R9kR85svkJkxUva0GtcgbRn3cO+O5Vye7LqLvhg8o4rmsY9l9b
JwXVvE5kT25w4ifnKd2I4xSPsMyJCblB84QUU7VxerPkPpb8Oahr/QzYQ0QLT+DZE4ZP7yT6Esm2
S8RUXOAJZOyP/InQ4IYVakLJgYnSeewc7d/kfpu864IsvQ78qf0UpEG5w3pKiLILMAgRDOa3Z3/y
3H06Rv25Huxkl0JRuTD+ihPg4uVdRHDlpyZN8pPX8bc720pvphjc5iaLfCrwxo6YWHh9dTaUBsuB
KqEERlbOhFDVI7+QqNiY2OYK7ufatdNm5T6njYViD7ecfolCJZ/DVPjbJNEVapbRXOVT1sEnhfbx
kNeZehLtCJQWLXR/Xvl2eR+NAwnjRRY8WDHEbWQ8c3ajgxrNixTN8KHq1+U2CuT0ZJOne5+b0+1i
L7v0C0Kpe6F4o5J4yjgkSmFDkZHdCMlRi4pM39qppV9sAPWY+sBobGjaJ/dwP2DKG/FfAPIXUgRC
RUr25V1sM5FBfyKs83WgJQ7EOSPFqqPNB/k+S9oN/RY5bHAjzc0WOjIQGFGsNQ5pK0juBSKMddOh
1tNnwGjJ2skmriTCDwaWXnKv1I41KyN6umiRFDtre2t5BU1cpSvOtS2jTJ0FXksiIG7jF9Ti7JmU
XRfbvp77F/zgzpNI4RKoWTrfAlUApeLW6xFcV+tL6xbdsA3cBnDqUPjTN7gIK04CYBAnq+s4LAFP
cnm05xJVPCpSvNNuZd3Ho81qFgbq29JF/d2YNDT+e7cjukV3Hxecf3cOWOCbBLXycYxxPuYygjck
M8NVQFt61ljp+J6ceRPgbUWSNb4tjfUVdMwLFXV4xZ44OXRTMrCIoUejbzp6EwNhL/qEtnC8TmoU
yKqq1EkENaeGx+alN4hy2vhhmt8GQnYHIGzy3dApNE9r9jKmLf9Kdl23S1TnffHj1D+IDnBLRxjX
zvUW7JHKC44Ox2vDRFPsynHgPvxOindqEPQUIfOmEUXy5FapwIfZPhBde4XnLmcWaefsZYZhN8OV
uu7p/9hTRsZC3Q28bRmAPgfMAnSIdQPbw3Gxc+tqCazuptF+8hAkbnsWIw1MWXSJBHIaho2949tn
fj6eK62rXc69eWWn83CJB9ykaTZ6Q6lPCRgz/qOF+jn2Yf6UYQOMH4/ws6rEOQmfhOhqEIWrJ/t9
g12W2B1xQcCAeE+9bQOCW9ov8WzmTO14yOgsn/UEmjMtyyhIVdHq9wRvpvd2k82HcOlOQVv1u3jG
AbbJ+xZR3/qZ/l/9saxD1EBhy0FyLZGy0LPD2YZEMGbYOEp5Rr6ZBzPVgp9Yi+4gp4nBlzN1OyrU
+VZEpQ3JvJAPU28FLHVxej9J3mTyk/B2glOyoTGtN2xKxWdM/cET9KnqlOfh01LY9ZF2aUYdSCm3
qXPdklo1Z1c52sMt6W1nuCqcL5mdzAcVWfYRI+m6i3L4urPiZpQd/geQ0zHAWx1cUFyI94Xwj0h9
2wO3EwtwC5l9kwZA9OMqjl9UObnvl04413EdG4dKLR473KvbhRr24LN2XdSJrJ4QYId3SCnlwVdA
LQ8hdSGuhwH0Ih6WbyujJoKG0jG/7gsuAyyeaY6crwF70HUgCURdyO3SFQO0LJzdK+EBUxhQ0Iu0
+FxgJD9P5+ZEAG4F61hYl61Gw7ba7vsRU8eBW/EAwQQBKFM9CrJwuq6Fn7yDDUOZIVB+sgQWmy4a
8/vIJtS2rL3oQuqc1cvOEJTCoscD498QnNS222yOHYYW1XqmdauuAp+AaGo04AqBCBpslksBEcsj
Qg6clEEMDaRlbSqr4DZihqau4mQsPtSuIK/EoQFPaw1fY792tDSm3Fpu48TrLzXNbHZ1ocInMg2w
BmI8/veAg88HnMunRKEwjWR5VXGWL2QDXE0KAgQ0A55NM0vUzIrUZHwyJ2ex4g8xM1P2OZ+HFitI
jRt42xNAaMCGGX5ZNTofoDUNZ60bfnHW4FsytP0nKtbqUyXh8RUSuyXBjdbBUxDcx3Cq73RAxVJp
0oqJfiM2Nl0gzVEOLScAUSo/t7x2FjsV2pLo59KBQNWIoL2xiMwD1aXD9ob2TWtv3Kgg1WCqSDDj
GvWLT3VdNHduH9V3GFfLapNrFtACqeVzJV0bJ2+RPfcJWdpb1+IFe1QA5EQR7kCMbjR/GKh4OG85
mxxINxVPCUAaZ1UX8USJl+4jT0t6Z2sFiIKmPz9qk9x9pD5mZ1qapIy0XORzjfnuWU6SJoLUU/1S
ioauglzH5JMtC+dL+R2x0wqgVJL08k/41NmEiyQnwKFbE/ls+Z1VI+VVcbhfS795IAGRhUFmxF8c
wnRU7UFAus5205JxeWTuRIGDG6Z9yIIJMFmctskn3/H5O3G3VMMuLOLS34nG5jJqPD2WO5TpRAkV
oFnA1aHSCjfCXXjTIheNvMhXf2TfaDfKAfuO3yg9ULzyyity5PZMQNiOdpmItXW0tCkBRiakcGBR
vV8WmS2aXTAA29hWScBZQrRLYEy1TMknNSi45ykyfJOn6Ncv7jTxrlPvAVudhRd/ej2YvrLSCXm5
5+TbVdoo00KHHLkN+4n26MVkwnk9eMctvSAOPebG5sFHP9Ycq7yg3YOyIGeDWS7lqXPoAhEd4SPf
hjwOLhvH1AOi9rLjFDJv3c5Jz/crQ59+yNDZZXEhUTGoY60RflzFalQvKqA3uplcIJhXgeVkj6VW
LswSoHW1E4d3JekQGOe6yH6EvyT1aaENn9yIiS99chW2H1rtgk+dNwknL9BLYzH/a4mL5pxw79L7
z/SOvgxHUVkjv78SO/6cs3vJN3xYA21R8lsOD7E6xtMAJ22K67yAXpa7y7ayuX82M6dzPTX0/85n
wLMmcHukosN30RVndjDQRBmYrSCN7cl64VYXbLh5CPP8IubBJhGliSaDwVxB5N5kyiNsyJSQFRSN
EaW8m2GQwCSCONU+ZyY9nOYa8EqdRgvhQmX+tK7Z/A53pHptq/8HyfQn8xJtRdqw/2oN/yXS7Pqb
+vyrBBW3k/krPySoDO//wSiC+wYN6g+P0r/Q1sx3/+lXgmVth15IISh88GgOc40fmlPP50dMWzHn
CeQPNK3/Hc2p83YMbjMeMW/jxniEKTvfToWyUSyqIc3qKkTO8KRn4Z9pz7GGjb9W9k5ndd/vlq49
R3XYOyjTe7W3wdPvZ4J0jpMr+0sfzqr7AWNGed2G1ZBd9AtQCfpzPe67iQ3nk6eE+jCW9bCD9c9G
q9PcIrGKiEDoxmLckXTeqCNxPA7zONl+bFSibtYBdCrUkWae0P3T46VWHuZDXovyFA5FvZ0GQmg2
IfF9x4BnAWE6WbEQWZa2omC8RKaU0DoMAHBEc3qKhbNOu6Us7C/FVElEZLosn3ti127y1Fds+Od6
uUmSFi4vsTZ897qrNbAWHKMhZfwAtGd1pqU7Ytzkp54k9uN8ilJ929OE12cpDodixwZ3sc4jPiC5
V8nKUtqSAuDduSh772LG2fdrUaobEnDZDYbsIWcApek2ka3JZhrCUx1XTb8tRLuS5wt493agTdfs
LDEsY3flle67sesgArNbTux27E+J44NwqhM39cIjweqw2cIht1d7txT1QH5L2UTLNRZUNpPQTJR1
JqTTAq4BFZgRG8YIrwFVnkcVPZv3skOQ590rAmY2A5IUwu79PFHLdflKOQVZAvK0a9OhPnTfUajT
KxeVXjyQ1ARg+EG9slPxYHp02nv8leOlBEeE1/uVt2pLNv1ga7Mq2fVCKnPhIAgjhMlfAdUWZJyV
+GAqgvPGyZBfnR8g2EFKulw1Xm+X3d+H9JUai0nWMGTH+TtR1n/ly36/i/+z4P1hwUNtyFjpf17v
oCW3w+fnXwybr3/nnwuezVKG1S9mpAS2G4X5v/yaTJP+wUqGH9ARSA/Q4//3+ofmnqXKgPa/L5Iu
K+g/17/gH0akH0PfZ6pHRyL+d9a/79Kpn9QAiN1xb0O7DiPejlTjN/IDensdYjIYsREDqCI+IKCL
9PRhUDFtl3M2YSFsGLbiUVYcQ8IvcJJ7UDjnfUoLxg+RP2MC7NJzCMBR6V01Fs8DRDfWCD0SeXJE
TByVQVmMS3IsI7pg+aWf4u/DUMi/TaZTAvoxFu9sH7LYmlKJMaLPqPdrX6/lZo5CmkfMmLaWAtlR
nyMkoIxjCMFWwajJlf3RbeiUEqdDC0k/FP2K5IkYt3QO7+hYT1l8k+fjfmZbbwQdkWvBBZgaD3kO
MToWwyFtoUlPaa9GP+TU/7lr/nDXgOTgWf4/3zX/t/osS0bMrwSRs+f/879e/8Y/7xk3xq6MdADJ
JnLkn2AfzF3hgNhc9AyaUesE1AU/SobQ+QdtU34dPj+SckP0+Oct4/MjH6W50UoanQkOlv/637+Q
6+WbP/886/4ujPvvW8Z8HDwyPgooUGKkcLz1VLCL1TXVqfiWsW0rCCRcEw++2Oxa/bgbR1yTTwVb
/vEgtVfVTAy1739F4ts1lw5RTXAKOsuU1WUfWUTUNHFCscydQp7qu8GuYQ2gMO6CNcCttqSKHEcP
fjrinGrSK7zngo0cQfEhcgpMoJ01v8tG2mrQnLDNRDuh49w1bWn4CUdPoi8igjsv/HgAiwbaMTk0
ZC+TmaVlljTWHwQnb0R5RM0yIjDhIPwXNw/uoF8H5a0M4LTL1f/WyVnF3HFpmNFyGMDUlVc06GLe
coF7Vb+YqGH9iPQr5qO5xNbzfRqI1Mu7n66tvxEnfNcR/XzCaPqi0CTiMEI4jvrnzUfCx7rUrRzS
Z6gRfnnViTwtz1dhOLbQFoKcxy3LHPMlLLldRLVVLB2698LGBf65XaSmHx9C5yzOK1tB49sjd6CW
WklOJB9wHNdsfcqGwCAZg7Xsg+t1BS5BEHospN9v7FRODHN//6V+FTMh0ecgs14jPaStEvxFQs3u
BjJ3WTXfbAQywYPf5FZ7X1dJu97+/o1+VRCZN0JgbIThPqp9xK5GhPmTwlFXdU8zbEmeKXOAQ++7
KikFjQ6bOxw6ciFu8DL65NuTl1KR/Mr2NlT3Ze43f9Jv8cz7SYLx/ZMgrcbN5NMuht1qDslPnwRV
noZoXwTPSkZDcO13uiBYYSAEIcQTDzLcD/7dg8wzmx3G98dsaIQ0v76j5aRW2Fah97WaepMw2uvO
UiVTljXR8x/ey1yEP12kHGcWLoFTy2gdITK8EZi4tAnBU/nu8+KkMhffwNUzzzpLOizr5ykhexzi
SgfT9Cft41+uJJ9rKDD/YTdl9Fq/fklvqOSANE5+XQiNjFAHhIaYnLhWztH9/bX0Rg9mTmH83WGH
6pArCorFr+9VtK1TYjmun2Ul/Do8kQ7RvKvckTVqO4ZpknY3S7wmdn3Z5nAR7b2vsnJ9KmTYdd6G
2jtZCL7DJB7fwexB17zNILtWlyVDP2CrCJgFgbm//9B/OTFGdQ5ZCnUTvN7v9eAvlx0Bj1h27eZr
g+SHTzFYcVm8KAp9/0Pb1kHr7TCZtOOfFOZvzDgcLD/mrEAUpBSk8fF22UosplHd4FtfEBE4Lrx3
EiYnuYUjmoHycTzS3aoTt0kZftaIhRZsK8NAFAaw3cVVj4wcZtjvWbSs4xeQbhR3XhO4qIZQtco/
2Se5L95cwHzAEFmlqSKNkfLtuaWq64Z6GtovWZTj4CErWo/rrQyWgYtq1Xaq1TGWnQyuLS/JuZtk
A7/KYvqqNYtlXIpUf+UCrIuXQJoWAI8/Ua4MUB2EQS+vC7BIOlYXf5lSIH54xin8VB2WXKlkrkrO
TjOMAY9h4E2KM5LViVmiLZllvKFLwkV0R2NqXD6iOaGE2NDGTDgW4HM8Fnl7zYO+OLii97m/e3z5
y20XiALV1DyRRgsYI5HrLbd/7KMEabg0h7Ut+IzwJOOGHOFmcj6Usu2KZj8FS7U+raMXqkc19IG6
lwX/Zt5kTcEKQnxM0HLOXHqovHXtEX9DviAcJm504vZavgwg0CJLDzprggYCE6hBfjNw8oRfyYNQ
1jTd0ZeOd+Mc1jzMdL8ULMFyYJ+t90Ua89ZWPsf8+uoxR293FqLe4NqLS5IUespxdUqE6vOrShDK
epwduTQXGXaF6XxapoVraYnonmsjunH0RaRkxsPSJlOQf4DZcrnbmBeO0iUztenK8vTjC/jE1/JV
IWvEBvPAFoMD6tsNlx9ELbOIVTUE2HoPzingHzltDEacsisRtf94jR704rD3ckby4O1J0ZuXjZet
Psdg8nLNWy9dxuIIfoHvlL4eVVGWM0fOj7qJX5jnMSvPGygpiDCcDIpWvfeskKpNd0nAYelQIfD1
WOjN5dLGI08tjyAbLpoiCYr6vhl99uaHwvPM5dIxBeKeUk0cc9Wk7lBxzjxIN/wt7EdJeCDUooy8
c4vwIv21B+HPMWwXVfD+eEsZXT1ElR1wTNZwiqr5LAkaVeZbAAKmdoPPRUwmKHmqRb5EQfjnctV7
pKak+9Yiwy/DIKBYBfbD6im+DAAuc/0OXi/4ExKW3lPnsVRQdHaMXgW3wlRgUqQhlI4hz64Bfx8f
SfPt+ZfzxESvwN6fkTq1xRvGLaijvuRK8dYgECc2XR4fr6jzyNRtbLfK/FqynfU/5JPgDzjidMjH
KgRsFaSPquYITgtMhmSzRkwO211FCShO7AAFxye1A3OJmtJaPXZRw//2DgigEdzIyNpA6bhSZYg5
5z4nSmE1i4fJu/hc9N5gbmkCunnRgRQ8zoQvqRuJk+0cTz2CDWd3t8/a0HS8ARDJor5iYmo2hP0g
iZjZ0rmbzFXt5SRQ7VCwrI5/WiJ8y8OusB+Rk+YG8kmUnlmZsoqU5kNgWwfYn2lHPhvgT1jCXNvM
OlKFwuXW13rh8o8kOmixj2vySxsKhbkN0Gj4CiplZo8VoF/sul5+0zpZzpifWt2cYaIwte0ccAdI
+lLIlsyudhn6kXzYpWJONV+UtCX5jIklOTc9avzWh4rvMGTEn1ugZHqIQQmJ5rqVbbxE24B8mLna
sxCz3OxHLy001Ltuwuq6majbgeQkbkBUdwLEj/g59F4ss8HXdWZCmpnFVvOdYzqJKzMiLJZZll6W
bTY54fW4xNJcPHlhlpRwnHXfHcDomusSbAiJx9BackA/Fy35t/ysd9U0kMDieyyVBP9ylHZg+xx2
34ttOVN/LWe4PMUBfNvEWcKz7fIsaHU981pxb5tVcDLgVVadvEtGdbDHbuY32cL0/GyE58S6VNqq
Xu7isTAVYSYmCCubTjCKny9GeGrBteIoci84Lgow5I394OnW4IB77V9EJJoIQKVy5YNnAOh5a+FU
C5+f5ZLHERIIzOu7OvGRddBaqMxDls5cz+W4BH7eEghFnhbrg44yS9wsth46Jumgv0mEJ0aFrxS1
QztsiKg2JZaNr1Z/rSNkWlc/9iGs+ubgzG0PpflYDqyqTK6zAhnW2VQgcKSXgqt2h3KrSfYCM3H/
kPQLXz5vefjrPQP3kE8MABlt46Gts5Abu5hWyukTU3FzBH9c1nU+m59p0XpcuGu+mMI5aC2z3EsL
fvqTwwSGY+yFQzww+ddVClIwtNKcO1dECV7BzZw5YXft5iy7OxmXw2htwtXRwSf61dWAZmypHmGJ
oB9jZAxf+DwAzFOS6qam7mtHkJF1MaS1Ja4SPqm3JQ8p7z/lrLkrg6+mrZ4FDpzhvm6Devg8kx40
36yxBfAYe9rYXnRE7HWMwJGyGpMuWAk5HebZh9Qy9FnCYI441Nq59Coeq/skGoFd9ZyjgUV+IW2E
GWWjAFEx6C2VKenXYdaw1EMwSrR3B0uPH2PXmcRDUI1a4Noi4wMuTlxhlqHTHvP90VfqBIDtmPEk
q7bhWs3riringlx5SFwAMhcLN8e0CcbyasZV1R2Yn6YegnFrWR/Tws1aHnzBGJ5Lrado4wk0DFsN
/q1l2J2OhJeTNBXiag5DF9uIX6UnrDTjDkHYDBc8brCJObOTuYekW5wGZCSE5XybJZ5v3XZlW4t3
6JBoxR8x1wBP3Mctsc6PdNW98cqSY2PdC0vI9WlsuKo3mI2C4d0aqhR3ZzWCaOqOYHfTdYGNE3bB
LmYMRw5cPhKttLYiqttNXLaem21DyDx99MWpi6h5zqAEqWVXBqPuv4G28ZAoTWHXhhukLf6IVCNp
ej/aTWCagXQltVUG17FD8gz80KCjrM2+ZVHjAfncthGqDEIR/JHA6X3gEVWTXg8uX6a4/VF9E3+O
L+ueuPQW6cGMEJTHEgR0BA7vMOd1ndh1yTwkKJJsO6VG0Sr0qcYSUObdYVi0qTUbayiooAZvUeax
ErOQcHP3kSkfBx7g3A6ZCMwKVzOiZinJLZ04yQFHMcIC88W6OboA6mRRkqLZUTx6/KzGarEbGx+V
5JHEA14TMXxrqj9mxWbnEBbOyqfVQtVVfJz6Og8++KDV+ChOZ4VlfEytkV5Dh6STZdKXkso+Ijiq
c4/C9amCZ5vajTAzQoBYy4qIOesMpGs2WHyPwA97rxwEjh4DILeiJGrQALOm1FNt80WpS8gl2/p+
PZgFsa5cntEzrF1Kk1kDwDKaK2w78Jf7eeGTDmkW8t4QhMJ2fVBA1vlZm8QLL4YzMeFekn5LQMhR
xoVZJ0sRMljZuoUT84kaCM3O8DnGe8qvxIlitXGBawVf5rlvGES7iDguiTBVPBYZ9JhaqulCU7IQ
NG6OEUEFwei8TJbUZbybK0dNIG6dhr4Bs7Bk4djGuHE5/KzhoOX24Lto9wSyNk+pH08wAbVVoYy2
TcciiGfz6R0vsTiQHQCquD3qvGbTAZ+VA8syU5hPMElyzsvTP48E6k7G4lMHVIX+UJPxim0NWhSV
GYSwqNpQEJlLMUd5xp6lXhL/QzXAkj9/PY08MB3nie3fND5G0L/5xl7RIEs7TVKFzkCgRanm7Had
CzuJPyoEAUV5yrogreczQTmqHlcgDnwrZ+1M82kYiHbJzjroubyWPRY5JfjsarORj4Kei6WmX8eE
PZ/tIRx3xLNSpaRuYqp5BfZ18E92l0oV3a5j5rb5ZZCENp9Hr8LcBx4ZonxVReqceqykMLdIz3yU
hldT9PxCAlWRQs2p2BrnPRHfaC0TgIfusXfDijo7fX26ZkqlPDSh0lOobj2vowoMPFywJzUG5npM
INNTWdscgeIlWRFOaJOfZ36bqmRYb+cqCnlcOhmfy90SxGlKQ9hACHB3jteZT/t6e5Sjz3mpkDZw
UgfJwldfeoun0k+KqWhO2KkTQivf1j3XAkJtTU1QHMQgzLVbNW7cXNWzk6pxl1YyIq+PFyBIYVfN
LfYU0gJUzXs168BXsDuVm2aFY0rrWLVs+dIwzofPaphyr97IcupGFheGzN6lmB207RsE9Vxnte2a
TWABApKXAdLLCYHfTHnJxpPzPGp/1Rfe7LJ/CsJYL+q4uOTifVaZs3BQ0GCZykemtqLWkG0EMf6Y
L+RU6f2PHXG0Ij9UhwXbFLuvJu09/pSyZ0G/iZV9+YoYql9vGVMSPe9lqOeincqGVFqnKOi86TFY
K2+yttbscPwxHplNN6obU4UNi2M2+WE8mEI+7aA6PiYySTlrY01Dt90tkUUEYj4o4ioOYey36xNH
3ay4eKrY8wK7R/Irzf6ByylA1sILQbMzS2XHmhycuhC2EFSfcOHSPzmRk7FVKSPqqNdbr1GVKa0q
q45BDeq+rWS/G5WS5sJoZtM/IuRNm0sSp/Hc3NhiWRpi3VL4fxkrvjVyIEFhmluc3XLaXQVBiRhw
1XORHpOsWaa7ACeDPIumBcN1hN0Bq/UUWoL6AJ2+YukMkOHxMrHAtxIfi74xlagLYoR1Zn7dNS4l
0QXZWY/tk0WKgn8KtpLOlVvt41SZXeDrxqJKVvOh23WZMWtyl2mjXI1WdrxCRWg4d2ySbK7+OWug
8O9zZzIfnQBFnoT7JZuScdwjOxTlVdjRHOEXV80Vpd3SLFgjp9EiI7uEhtlsAiuXK5OBzGvKz167
mB06fGazcsTkAnIMIVqaq/L3vbW/6RlF9ARjj4FOyBj0TT8Q6RYIz7iavyzJaPaZKrNIrmXYjzk2
3kjCLTilv3/Lt+1O2lTkw/jCtPMwlb/ts+qOcBt7DMYvfjCb6c3rpVEhs+bR9e++FThdoywxAyNG
U286qy70x1XRnfiSi8SsT20gPEVRyGLN2vX79/reDfy5f+zQOg7xHUPV9IK/TqUQu5NtS1zol8Wr
JzYyU2ZEmVt/FDDRtwj8HJ6Fa9CyaEyN8LHtTKrqI1gPo8u+my6EmWzEbHnN2vO6Mv+YfTRDarYI
TeiD+L4Mg37mT7//+H85K+BysMXGIObYjrv/j70zWW5bydLwq3T0HjcwD4vecBJFUZREybLlDUK2
bMwzkEjg6ftLylVl0bek6F5XVcSdbAskkMg85z//oKtf/w3bl21Y9Exsnec+MSSfgwNKtYUcrrRQ
71/qjzWHFxpxAFCIGKPb/jneTRkFLY8C6jmIUfxM23Dy0/GRHCz1irhhNH645M5HKJgWKdtlTIdB
TfHXOlsHcOMsPwK/f64RB/DTe8nLdjsk7OzHyIQbOa3CgHqfYmLi33/kpqe3N+x28Off/+7nt5mp
qeMYgLSMSeFVna/IseylgIRtfQWToHWc4hiUyi891c6/f6Xzu4yMSefbWjqSaiZI5+B1RmGIjDY1
vuJr72XXxHWpAypJ6dS2OI+rqvH9C76VIDM0gSwB7MyQ12HCB3z0dgXhPDqzmUwtabXMieI1wla1
zbEpTjzXsG2w3F/ESTTFwdLLnJiT8f0PcBI5//4GUmqRNaFjx+PBqvhDa0+XGOdG7ZUYvOtTVOIu
hOfTGtQjDtKL17JFtLEqjTHeUvv3L1Bcc5DiWevC7WHlXo6vN6dIHQXxAP1jQQG4Glh0C3PulxwJ
HRZVfrfySZ320TwbWc9u7Y2OOizFNGCKuopDnRd/gemTwl+hOAMeGeS/jkjsMyA6HD/hafaXCaNl
MsCrTFO1FYxOVXZprYlidtkRhMIzc+uE2sbDuIAfX9dtzcfyXgH6jtKeXTPLMPkFw/H7U8Vn4mRa
L8O0UDwmvUMoCDwWpS3IpCmkUCBLSVDDB9ntfyw4z8blwIVFE5h4BJ0v7YHOItb0eXqq4saiZo3q
XrVA0OtVBfALsn7/iav39s0DZ6vF5YkZDSYL/h/UQQZlqEo7f3wKSFPkCUIidrNr5ayWaQe90/kE
CzsPBpooaYSqKNTyQn2a9z/G+Te3cJnS2TmVWod37txGA9+CcuRZxk9ZBfy5g73bF59MKGLt3uz6
w/sXO99ByL10PAukyLV85pXnjg54W0dIe7vuq2iIjH50Uk8tizStVWX1/qXMs1ean47FojLI9Ji8
WZZ+Vh0oQ9A8L4X5CUq17q9C4Ms+2kTAqHS6xFNyOiAVnQv+5gHYsC4lPgiPlMIOOWs1sC4QDC2P
mt/Xo5VThxqzrQr1JKJDiXHRm77HVRorWEtqCgbwexUYdSl8V8HEWcF05EGgaeXLaZnDWRRFmpoU
wU9S+zUNQSabS01jH803ZaVH9mv46xv2ye9sk7P7zT3AP9DSeU9tD6fV83vgEGIbFO4gPw0FqoGM
78uoIiPpG4+7x/fv98l//rf1rJ4pm5cL4cLlWMS85O0WOlY1mKphhw8o5U/XwpHbPWSiUaX+wFbP
FvQ6e88h6XAXSlkqlPTXv7UCuSZ266POzXVsT+GZ9II1O51JiC6IgpalBJ5gylfH6OKSusjGi8ka
aJjWOALQHiczm5rY/Br8MS1SQyQNzS/vzuzrM78mqkI98NlJuYp2mo57r9CEMEBA+5XmxOpJpgZV
y7jwBBt/tUL2pYDlXyM03kjWLjJM1TyHuCryAyejGIFA3r+l/tvHB7MYTaWpK0tdyHo67qhvb2nD
NxA+QQjfc2F5X9K2xJPBZDy6dTO/tsH4434T2TK4mvwEMmhth+W2MLP8UUREAJ3o7wxNI2sRaJPf
LXAAbD6F9K/dbS47EeMUJcxtEqR3BaO276JGJLdwWy2elsxy3BvhhNVVrCfdNSdSDIMY7WW20rrU
+jwzRxY7GMWps6hxqrJXoIbZI1RAMn/6XBJNTWbyrc2plG3sXIMgPbVi1ddTszYCPmHMDH9HIg9T
grTugfMqgv/SZW/kX2FNIGuQEVKBYW50Y2XVrfdgcj4/1zGymEXYujEQRtR1F2Zalg+jZw2PiWUh
xfB1DbWGBm73lA1B95JrdXuP+K+jLIIumMoh3TAmmMiOY14kMQwIEvzK7ULs8rJa92MgAGziNP08
+C62DX44oJEd2+qBYFMgMdvQMNTQNHuJT9ed3U/6N3Pqu6/k8dif0G5i3CbJYso8Qq7tZEqu3l8R
bzdrFgRjZTYzh1LBxirlnE6DZDjzGicqX3heiKPMEOqxm1fI4N1Wdz+9f7G3B9TrxTyIcuqYp4az
zLerL5xtSrs2KF8w2CngCEn9wSjBVxdFkV0L28LqUeIme8eI0Ms+qMf+WPmnrwlXh5ENm/g5D2xw
uoAMjbZ4aUqVRm7ldSYxqDAgvr3/JU8/6V/b1ulbogSAeAAvlgP5vImUZpGZAq7MizFWvDPWyZUX
xzojWZG+R76sWYTHBEfzeqHnDimdlqiT/EIkDo4QeQ/tC7Kee9O6bbArtcb7xHnbUScNef9YFBQv
JrHh2Eb2hn2ni7T8icbE35fAs3fCnMzPQUqfuiD4gFQN5GA3VhGwjjWvcEFvMmZxJI4ArLXB9JKq
fLm0GdqNETn6sy57aznz/D6ohc5IeNwSVQZQBnFf8PYzz0sCQ/M6afvT/GIP6ubHiRVfoAzNt3KW
zzi85E8kvsvVgPUp0vVWc7c2ktVy9f6TcdTu9ubJYAWkujrIgBDHsAh/u/7IwCgYH8TeSzQwOABO
a7OFVFadKxJS534lyLjfekVPolGi1QXTnqrYVuBW16J2SRTLvUi7mYkE2FpI+JlPhMixiExwlm2m
XROK5O0JiL4orcJ6AAPNbyqNh7ZwGYxNy7mXjF3SqguXXo25C2UjSqfRTn5ObpogCMCPIAMp3ibI
iG+w40aMUIXd8G3K4wE+spndaaXPAeFKY9xYZo8Og3SQ6GHMA0JO4kbnC8TSwKaljxgBeGlDwC1K
3fLedjR/n8ST/dkA1Q6x5ckc+cGyf0tL4hFzb3Esp9136Wa9cz9c1FGM1wiZfGkS2zlojZU+kmw/
TfgYlAgGsPP4qKU7cwM9XZLagBYHajoUvHOuuKGbeVtwdP5I69TeAZuh7giHSbsCqEw3DCJ6dnon
al9qS88fk0j2+yQJ9DtNBNbm/aV1cqJ+u7QoNdk+Td/Er8s4JwO2JLDh5VGWPyJi2HBfIr7tK8kQ
sVg1BXYyjW5mIBxFBee7d8AKV3gLONsYOuwKnCTAjq1C179qK9f7kvS5UNAvEHqpdfF15ibdtrEs
eXBJ8LiM0J/bGGAoSXaHSzVywVovhkVr+NXSL2anvtC4LZs067VrGP2kkABlaHu3w3tgwtAGR0rc
HzbRyOmNKjTJ9gVjXipKq0ABlDc5AW7k7TLDZej56AhaU2qR7r43ZXkZF7nVLloPugwrkXGRMhHt
bq0gKRm5wqhDaCmZK/VunkdLAkTq6xHH1g6xdI1HOfevMjAz8sb2Qncj83PfVsmXoRz7n3ZiIsft
RIrO7v2n8+f+4+FwBmkO6hqaqj9wPctkEprJMfuBikFH84mxxTdYHhNTQx4ZPZX3MnfKD7vUvk0Y
5uKu4or6I3fOv1uwvqIgc/T5gQ028Hb/gSnVFd3s5T9IlZmG1emBuPh15Pskd/uNjvLgoWnLYTO5
cbiu0Vs9xX4ratbJbDx8cE/+5oXFBwFsma0DrmVwdhjPxYC9CfqrH5Gnu/eNa3RHnBc0PCEoMjgX
h8OQN/2utsviMpeWcd0TTQrEnvfyNiHdCUJyOYo9lgHWT5jzjbPwmyS7/+BT/lEyeC58V4dXHM40
TeXZLRNFOBVBYw8/QL2b6JNyje5IYLKnxdDpAotsQZDi2M3Ibf3WqX7G6I8JCCYIebywvKp7dAhF
2uvemH0yW3tgQsIpsGnTNud2R6m3tBvGva/r7T86i4ep/vE///38UpBpkXQ0Kd/731UTOEja6In+
vdDi83MXJzDHqvJv/tg/1BYGiiKAY9yBXsNVacP/Kcm0/6LrVKolpUD6hzgT2ZJuQgmnjAWpQvL8
T6WF7fzlINi0yArhYOKNM/4vSou3tTIyDvrQV/0TuIb5x+urKESMeQf3rhCILJZEeA93sJV7dwFl
svv62425fT06fm+03y7808WoHwNPRyiCYf85sBE50oZw3dt3sYbjSWlX5sNEROZjlvQt9BgTf5SI
PI/nQMBQ/H9cGnhD+UEiHjvvu+HxG7KvqC5Pkv4ygGF8ovPItTe4xoPlS/wGOhBx5PtIKpMPduu3
G5P65lQPtKiQ+5nEMDd+u0uaFiQegjetu5w3M0FxKjim9H6Y6x2uOFxOFpg4vf+VzxISfl2UpYL5
K8e3d96alDUZW1EdmHcO07GHknrj0izcGTcN5CCPqp/c24nSmg/GgF8NCpf+xa3BTnPN5T40wDQX
tRdhn9dpyupsnmf7maq4a3DOhzxwJeoQBX+i7LcWXW1w1su8tKwPupxziErdO5e0HDBA1e+c9x4+
VIlBerF5Z8AUeMyG3L6UOZjQxu+k8cBwT3GAPvQrPRsonJ4YYTuBSwHEhYOzJ+ZqupdKpzXuUkMY
DyV2BhcNU9CfeooP0IQvwdGxa+NAoU3PP8VDcvH+0/vzxVQQoApAUbgjM423K4a8KpXfIY07vAHl
ESZM/TQRn3Ybicb4AG88O8NPC8UyKAioJbjgH7Ey4eTBn9MH487GouGokQiYbSAjU9eFltW9yMy2
n4XuqrdTuTLU3sjLouEqcptm8Ufqpr/74sxO2C0JXUNWcvbFTVurICWG+t3QN7wkthfm1d7sC9pO
2ODB/+MloXhS7yX/p5FXPfZvUzFI5TgKWcK8azvGwiUs/3lpM06/GjwdZLPFwcoSXXXVNAmrPMhn
41CIQEZL0mhxHjPSubrSXCGPEW4TOElSTe/7TARro3flbRwL3B/LKeUtc3zGxruAfN588/5aOR9M
qsUKBIbuDo9WdC3niAdSuHDwp8C4C8MU59TZa9vtad3IvqifWvQ7mEKObLnwefaFP0J7TOY8wakk
aLawwjFYSTK7yS/mccY5xAixOPNbXR7f/5x/swuiFwHSRtOHVOwcqUMyMQg3tI07TEq4IafbbDDt
eDL00HhoIO58sLLVCfpbd8zkUUeTxixaKZpgfp9fkYGnmerZ1N1BWK+unL5wnuFRqb9YKRZJOgL+
1nI7dxEmISwNoAdsTUdYWZhPZgpSQZDyYsG0u00RLlzozDSfEstm41Rr4nSLOk4N4pCSONhDKaqu
JlJbcV1MMCP0FC+XYdEH+NZrF/ivzoyvxTfhOTPzZCADEHG2aGc/C7wG49a7ij+1DOpphlrtaelN
YzEv2ZYiFiNWPQLfA9PRcneZUHTGmyCOSPHL+dn6cpI1KdApOVx60XsbMUOf2MZuh/tzaUSkqWih
E84r3ZqDaKGTWPAJe5oIC3HMPAnPZMbnLAFmY1LXTaiZ2C2Ow5ojADgwSwmys/26vBvKPr7yuyLd
m4VfHWiDvGYFTVfHp47C/IsxeRlxllP+Xc86/HSpA7DZm2aseuDfxC8Tymd31yPOWCU95/cODLgg
6tJK61t85apiKWMsb3E+7nRSOGMf5pTnafXjUOYpCTqh590HAbNCnJWizIWZLxqxKOifYbC5wYSN
W2/635iUtv6yZG4ELQUpj7lohgFzI7OZEu0yBH7bmxHuegtc0XbMiIL7aRS4/3u2MkLURkCiReoo
zKTpzIw0VVgJ9a0XFXm7lAF+6yvG38FjFA8cuxlrxJugD8AHnoI1cPEYrSkNGC8SIs2nqxznucPR
NVmWPrsNJSAbMWCNPHbYG0U4eUHeBEmGSOcD+ePqa6S5tycHNhs4mY2YoKDlXA66V+8sFOLTNVZ3
zR7usW9sognaMsTtRPqXNmOmg8iCnvE0TMlFZMb6hZ6QMBhYhWKA2uSeBsmiaqr6CXLt/MXo/IQB
I3EaDDfMbxOepUsnwZeGxj3cmLNVfS0IRPhCDBn4AM6TLywU+SMawhRzmzgqVzpcHniG2Fdf4H/k
rArDE0sWVqFb0SIspfTxYkUxjlv9i93oLuOmJKofNMdPMlLeMbCyd2WZB8WDhwWEHrAA8qnyVoWn
DLUW8IiJjMJgimRyk78b5oh/DwTJBAMf2OLoOAmKzIyg/qLFgqDwAqFZ2a4mfD/9jUZs7UU+O/JY
ZZkyndKgkugRQ2Z2e81+bnxA9DXYRj2huQ3zT1LreGJT2HMoTExZlsLDXnIRVOwVCeRvEkJ9crhw
N274GdBvSWHGxhmPZUNFHyQpDD1db+GkQ3bGpSnqePSZYMtO7Ohu8Py5X86Taz+HzkikbaJ7yA1y
jKnSYnSeJXEcj/DVupduju1Ld3DZeGz2Ic8ugnXRxg0uYbyh/hI6HT9+ahw+HB0H3G6EgI9wI/xV
NhXVFU4c5kOjO+o3VXmw73vB/sx2FoZYAAWk0RiG8qWEpsx3EgmFj6nr/IfZQzaywdTSflYDbYCg
3OJ3tLGRHoayYYsJIGzsowaPqAClyhHVGod6orGjnvZIajh/HzocomB77TZk6P7SBOpWBq1tPHTd
wD+ePm0xDNheIcKRtxVlp4lmIcEX5VSLZLlrtzdlkTGTjoRxGGaeiMCg8GoyR+NBGFjUkaU5HYeE
dsNSBreYuHI89xKXx0lVj5PJvTeKiS/FK8mVshiPTZQg8piqfxLtVHeLKKX61DPhPDP4DNaAIt1L
nXPaNkHUPKX4wFlLmCfT8VQoIFQup51Mc/fZlNT3RMnzaBs+jMTE7MW2co97Abfjsmo0/YBRpgZm
FuoHTGezas8y4tmd7HjLquHg6ap2S6SsPOqpThFeEU+7doysfgpxQ4PhjDSnXYeMOZ/dblamUpXL
uK3pWj654M/Azq7GSe7RfOH4dCpw8BwPsL9O8S47NT+WKn2mNEiLVe4QnLW0NUxbYf26g309OpO/
hzFjE2mMpvWCY4cPWJsynRfKRCdd14URfss1NIGL8vQKGaEDkV2gt6EM4uTpV+1459sjQ6eg4xnV
+IsC++LmGimaJKwp9rZKtSpkDUPQngwKAxInLl2e9KHsLO+Sr1NdWZi0HeH1TfhgxDmfVgwQTceR
E7dXy9Mpc+OgR3CvCSRTyv1UUK7aEFyH63qMtHhbxCE9oOGWrFrsXX0MLfjf3iSyl9xWO+Oe9YYf
PEpBIE+a+URJ9I2eXMBPYY3kce48x8XIPZV1wfc/bQJZbskjNoDclTxLgr07OdZlE/CG1a66fDH2
/jJVbz04bv2UGlV1BTep3VLuN1t8OnmqiclMN+cg5z6MlKABdtiPTBvlrURE89z6SDMyPS+KtZnM
GhaKDm9824IcMWNkJdoAmN3VmLAFOAY1+tpoczYfm4S+7jYgH3i89Cv1gNLGZmsyq7DZFq0RPOJu
LQOyq2etg8TG4G+BsSk1kAnX8X7SUwfz2NR4MDWfHiBIaUNs6RsPowV1nYnQZIgF+zx2BFMS1E8u
5JBm2RgjEzj1DTmJqJE7lx0IlQ5GnqrhnUetfoKYwysa0aImbN2oT2hpH4aG/wgezGPpVZU2Q2JE
O6JW5+nYnGadFVUzMwV4jfnuQMTBvjR9jJ8Hs1i1w0Ano+4aVqYyWKWjQSxyqz5O7PItMubfz/XQ
876WMSnVeYb9J9QWrPo9a7Y2Q5fj2+x0EdtRkvFymbbP7hh3LcHaMUt+YIGH8ojSzLXWo/Aacr2d
vFg7wZA7R9mOyvR4RFwL1Ud3nm2pdhZ+d/DIiJC2NR/sy6yptGqNAcGY7wrh8qfzAWrSPVOAkSUS
ZtzoWR0u+FGovU+aqXZRRYYSkdUiUi25jSPtMi5YE6cb8LoXqcZdYHb8dNpY28jjxDmt3RApTrTA
5Aldp5dM31qOobvT+rTNIbxIAQIuRIkM5xrlJEsE3jwLysnEDhoHfI/XBVGMhf+zRulIIkQr2i12
lmhNp9p5xh7beDitChcUdl5kZmgcXJwQL4ymNA7IVLgJWafyqt2yNBAVOiU7ES40yLsaExACVUEy
LxL1hbSxYPWRjJ0vW3vk1yYKIYxiIYIeMLpttyw548FB4juujBxS79JjKHU0ke9YG0RtRCamFbu9
lRg3xLvNd3TqLGodoTcRgiOvymkHtDNcw5hKedxsHA3V8d2TYgOFeeS1UQcQyHlkkQZQi55NAVsq
EW4azceVtxzUp02HntfMaiauG9WTPCL+bpWQFaJMICcKP+c0pp+gKaAVsHttlWK1ZTBx0GoEHoaf
yG0/iDK+If2NSPKSbfTQ6tC4aBp7rhAlFatdN8K5feidgSIk0rLgUR+Zr5W1VN/XC/CCHUzvHlvI
4gYjou+xFmrLLEi7rYM2cuHhGno1ZlH6M8L/bOGZDVlPLi31UlQWL7DkeMRxlBNJ+d0veyDPgApl
ch+zdOI+J/A5FpUzzvJCY5i90VEzi0XUVKgBhSwuk7pOr9GIGcaSU7O4pLOX29KoCXLP67q8Diur
+hnInHrBNSWbIUWmylU3e3+NRXyv7xq1+e9S8noQ4scxNRVxFXQweZlfItIChQEpGojzDEftHmkX
j6cljAKkKjC4SZaDfzUIINQEa2TDadXm3whqHOZH8tig0j9mWMaS09sgjGggLp0a5Sxnlx3Ra6ur
qlGi3vLxUEQANpkV9YEdjnxSeTpMwph9e0aPmP2oqDE5XYI6WKfqDDc0LI5DP2QFnRrDSI/KGvZG
ik6xZUD2UEFtD6/A09qtF1fBPgki+5JBknGIpBOgCMTU3Jwnf+VaGSHmLCdrg5sA52dLBvp2KCJ2
q9lNzAfBlZenfRNXCTZH6NHWemowZzRzVW/WIcbORUus+Sqsga9GaUP1UD7MeChQqjW8Qn3O4klC
LdtplbPB5pzPPc8VJxC9Xbw1nTj5YQtX766QZPLG9RqWn07WBHvSOFSF0YCRKKfUAvM3+xJzNd27
pGGT/bajv1n4w9BeYFMzwF0yTZ9epXee9YyhD+Y/QHYOAvklOA+3xEs1jo0wNOkkCpeDxRWTSxiB
7q7mxsPXHh/PQztHajs4lcyOXvxk0CbJHigLfUMgBGES7tSbG64cP8QtZC4Zu/M+tqfkUz0QBsvU
LmB3ptuZNxyIxEV6LpIQZGG1dst0vpJLlW7nr63WklszcrTvihn9kgbD/COnqvxZQQei3B7zCJb5
ZF4ZNcEXjL+qixxw5Qv8OrddDWGYx4umQayzJieh2TmWTA5I75EcpG7yuaj76B5hmpDLociZJHeO
fjH5znQIrDr8FKNH+04IAT/JwSS0o1ImSOR2RjqH7gIXa2PpwQBNF20g3KcTOvOfCc8HEx44HO67
E57Dj/G/nqo2+32+8+sP/ZrvYIyFhw1SB2ZFHhMVFe3+a77jBX8B4SIDMMFpYC/+ZqfFJAdYSmWU
u6gKmEsAdf5yoLP1vzAeUjRrJA3OKSv+zD7rPTuttygYOgw8mSCjwzzE7wRG1hlDziDxC8VRVMG5
VNOHrIycG6slUQA57UciibcY3+u1YP0r0zvGwURrv8VT8W7S5oaml/1/BP0SE8f+wEF4gsUa1fu8
jym+nSmdrgecCEcDRFHJQM6+W6tZJi+XzvVQz0SLUa9VaSsBTjBDwDK/V/WZdSpU1c75/sXfjiZO
F8eOxYV9w9MDBjr7sjRtHQ1xW17Obd+/FDCP3QVqSX9/GhCc+vPQ1D/6yn9zi5n/IRCFlcJaO5fX
QLZOW0z7ikv4V8peP+5fRFlwAqKDY0Cggyq9/zX/uCDzah2TOK6oBpLn06tU12Rt4mC0paSgUceS
E9PWHojBt7SvOGf82on+LSHX+OO+4nKDLRRjl4Cba57jmxOpqHMUSkEqqmzwYHZD7NhmaI5i4cP1
oGIcEuPg5yS+eFNmHBs0b49lzWBiGRNhXS4ir/OO/WSaUEiEM9Aa1XG3N2Qgv0ym/8EqQHzwBmZm
HSilh8m7j3VCoOa2bxd9WQSQ74t+2MLrjuwHrTCd8KqLcrB4bKUoQJrIGHcG+WwcHpyD9B8oKI6c
epzYeuy6u6Sj5S1ONbTVUTxiRM5a6og3uCpm3zjIJC7inYAeVKA2BOIgZ4j70GQOEUOD2dEeaPBv
F+Nkzv7mdGBqlJft+lTj1hpV6WkgEWIHlS/mlhSYb76wavyn21mKtZ81ZnrVWo68BRWirUx8kMEt
mIFGTmccEADSmi1LLsQjpFx43aRhwm7OsWH8YJXKJAICT1J53duBsO9kOY17PBlonFwnxV+IUFCT
QpmNoD2NG6ToQIBGeBdB1gC+yhCAY1A9y9zqdPsio3uUAijMLyxxq3cdYG/QKCG31FMqLqMFg2np
KQncAQwqRFg/WeA5R63RqFZ7FZ8xJ86zEzD9vCynQD65hAUNS0y6afBPMAoYL9+0zuxxUTDzbpan
XtskdYGD3Adhy1EhHvwZsCpUaNQQ8NBmXCMe8dF0nl8nc1EHiGuNjrWZqoQmJJAajWInaA5f12qc
RmBYsUXe+3WirOIx46YNglNYP5mTIMWyG9Fo0ydOWbwLiMUo6Ay1poBlh0fpsO4x4f4Moh88Qidm
4NpnA/3Ga5MhStDBqvPrJzBnXv4T0DaRp17nBQUdrRcrQ2a19jrUavWJx2/VFc3RMKmEE9fklvJ2
k0CCl2+xjCqkixuB8TGNUGwQdBSrHIJR4c/JaFOn+aqdP91/W/bO0hp8ex2TiEDoshYjLy0D/XD6
PX0YlssC5IB9Y47JYBP1HTGYYjXiKrUZmo4FHKvXA/MGore6Lg3DK6PD8mUpmCbAspN+cIQTb7S4
kCD+G4AXfT099I3b1XBzIKXK+9ol/BLsuMI5Z5On+sTQUuMPlHli6JcogD0hF9hglPGu6/pEu5j0
gdkALgJTeKQxcfJFDOQO+hpjqLM352B6cgNzfBEE1onlSIBFcjtOmjl+7rj98UVXYiTdmXFJErWe
EVXj4x9Z4dNDaI1gKBJ1D7UVxmvciWC+lwGJORauPXEjL0fgyw2hwtbB8SvQYjFuQ5TGV6SsyAe3
GMiKqMOEx65NB9pu1EJebHzpdLNZ1fHkAm9L40aDoX4cAXfJPAmF8xWsKsCkzepGaxkFibwSnia2
tl9FeOzrZkWubjUf/HaIXnBjpLguEm8HddE9oGIPMPCfbcKRyrHggQNoV4s5jVRbOfcvQRLTd3ba
AKWPxR3s7LAn/Dlg+hUssMcMHy10I+UKROITbrTE87QN3FcvPaTYQNrbZrTYsqEmsOhe+9kT1hob
/MuCfVkeOeZYy1C044SJJVPAcQYcmrq+fnLQOD0WjNaBHyO/cBaOYMw6y5gMvJjaorZpxSZCEZmO
ZOMzOtfoMXVcNszKzB4IqE4/p+3MixUoFI6RJu2O6tP8OiBLGV+zEizSrx5cB9FmQiRHx9eINoZF
kuTOwWEk+DzDavhatJo2X4KwD/4lqid0y0tKf7mxWkIWdzAlrG9zJBx3TdTkLg/qcA+qFd22xE5c
Rn7wAG26ecz79nkqpNr9E+OxK4IB4xjuk6Q/J/64NpJdUNXm10ELh3GJQFS/xgDFu8e6LvOwBhsv
HZThYmWNjUGbang4f1etvyEirbyRA3jUZrbNxyL26xWSUhIIBYOllT2ZDbmvOAEyWLLC8lAipf6W
Gxa/v+bEaj+BHprhNyCohIz7pg6rzewTTbwwo2ywl1mXaXs8AQduXRHWi7l3oi8k91VbIiN80sBw
ZU35SheeUbfZkpS67qmSPrVIregl1pgAQSgCxdjgQLpOcDRgs7DzqD20fjdhA5/6B01hJC1eEAXi
Lbd70XOiD5zQ4RjMMPtU9t6sFIT39FBSU0tpiEq8oZA5HF7R2MY12dPTgJ8jcDq8wHuJaSz4jbXM
czWRKU5AjUemHpIYnNsWcVayBKUF9OfSCBcYjWXs9wrOQk7CPigcpZw4TS8CYMZl6iuea8phUiwt
jxEMA2XeJWdkau5NnONVy4URRNrP85Sy4Z+2QA+JeLvG1odvMcHejW/7sfRLHC1Gez8Og35BSAoj
JLx9upfSwhsVj4yWFYHaz3k+8RK7xGGfLoiKVGOqClg471EY7ZKJvubi9WMZpQMc38QplUSoaRxf
J7SHiTrQ8gRrpBfUvqfBvzHnzCQYi7llhxa2sOW1QSttLSHPV0+j2dTxjekIPnVS1HzXUSgfrrJN
Ju9oN3XecVq4vV0VQOBRQ9rK6OvMXDH5sd3dkHUpCDbWfvchqMKTGxtsrFOrpXucCyXYXz4QzGMN
BhRvb64m9s3c3duz5Xfsi55xn1eavquHWPvZt4QGxcNIaAifmSqHUNHg0ZQjywLLawUEBT3MLZyP
iMlpJbBH6ym8NZKJuqNNxSpkhsGxPtQ+MT5kcvXlfajmUVgR8piQezHl6HiMmtHQNfQmrkLMkbta
S9akzIe6cmmyHZv7RGl571oQQ+8FnoNkSCdjHMX+Mc/8wOWoqoPZQggTMTFWmapaZHxKfarl6EKO
vbPAXkwewZmcdaLbWGGHeZGgmCHsZwRKuCi0gBrEY/66Q88RH6yiF7T+MQGR8UQ2AuPMXU4S3DWP
vzlWJK5dZuj4v0gtIDenJ7dZdGoeP/nFNjJdYzFJT9vgyOHwPQjlLJX7se4FV/YEVb8hK4D0yGRl
tdGwQW1orNrZKLCYQGdXwbRfRH1uHLGOxIaJMqRdpKJNFkZGRYL3SvYTcoOz8UUVbsk7LcjVbZDD
8gaOS3aFn2VLhFo+3QTSHi9Z1xQGQ6PfEGuo3zjFJFYkrS3dbiq2cnCaNbVxeC/dYdqkHKKrFEvI
tbTtG1vv7WsYI+UdT5tzuZT5jpOvuLCLDFa2ZvUQw911FOTXQ2Z3C4tbdaNPdQRRwR2e2sq0DpUo
0mrJ6IECUjYXObkHK1fcWoVxpPIr1yZCup8OgYQ7yxJ2kiwK3LT0Ehn+aIc+wPb8w2lcHog98Apv
0J+N8QpfavgNVASiJuM0FN1iwhOGHYScLIYfigrm9UQzDI2pkTKHf9t1xwShXjBWBPRzW1bkLEKe
fYg2rbudsjHFlkENY99v21TX8S+WCF0JtvM0HA7AggEEcd72z8JMA068elufkErKWBC8Vs0P37/O
H90PF0J7C5ZB22/TuL3tfoIQ5mBa9fU2J68PNqHnGQ8MHUFfbQnS59qqdTlth+9f94/WX31BHaGh
S2eK1+1Z10VLnltpRbTaacLaayiSi07mcjN6MftXVZTT0XVj9uJGqCr3/au/JQie7i4yaLpiXnA+
xLn6furI6hoNt9qOTkgDMvut+eArjD31Onb7Pqr5q67YTaeZ6uv86PQR/oPYfYDYAbQo0vy/52Rf
Mu4uyTr+HbH79Yd+IXa+B8DmobHBd/gE2fHzfiF2gfEXOBniXEUJVJERgIP/oGWb/BIYCDAfgmkM
EHgVfsuMcD0cjHHNNv2AkfT/hZaNuvz85YXdTaaVokorGmSgXrrfeImJmyBUMbp4JxvDS+i/Kgpg
pjFXNXkybDnSsEmVToP7OmsI8+xxcA2XuuCgW0VdXzXbFhlguPSr3N3Ns2eH61xU87jodV3eDWRO
2RdMhyftjglR+7khas1ZihorS3xLOd8WwuzEPmfS1yzy0BmgWxT6bNNmDe4+wBe6wiu3pSw25t5e
lAza1jMu3u0axx0ZL3HCJY8ZEbJY2L7WfAvSyfvu50iHej8gxG/WARFiZZmzBPw2HdxhcefZB0js
Vx1i7OsRBiFN/XDsCN/deMiXKaByoePsh+Tkvk7T6U7isHFoIxNRW4oJz9qTFW47qS8jZ1E68HYW
blofc6cWpFOOSGopOLbR6AY7s26TKyP2L2RitoRfVEm1cUrHXf4ve+e1HDmSLdsvwhgQCKjHA5GK
mZRVVC8wFlkFDQS0+Pq7spX1GbO5c+Z9Xrrbuo3VVWQisMO3+3LRp4w0wywKI1wsagDl4IiX0iuE
n+F4eDIEVe9eKt+TaVV3uNO8kDJo834UeXecqOkIU0OwYd569HvbibQ1w0kPzuHedLTy1qznR0uH
wWSVJYW2ClvzJxWWai/JfQedUxc3RlXRWWkv7ePUmQ7fdngal37s5S0MIvZ0eMbHsz5HrWia2xgc
9K98sr3dVMh111uZGySdQ+rF9j4tioawctLkaGspTOOev9Dj9+JJ7bp6rOpAldZpmhFWHEqWn/Ku
Nx9NJLIbk2nnHlJq+6CK9EcuwKpYjT2HW7LccK9bQ2tkBWFTSe13ttIeyNxUT2VXVEFdlP2tYI4N
Br4jQewVpAnygRG/GFkLZv33Ahq0L3ux3K4kh0K1WCIyiFCHGkylUJ/i5BtMW1JvDC7MeHndePyy
eY45UynjxiQTeOIGT2Z5me+SUZYPzlQzodKD7j06zMoPrpDYARCqYuqHtu1WXkeFXE0aUcSl2W/a
WD/qgk+0Y4/DWWBuvoFI6avOlDuDj/2lWcztbepAgUfaMKQnmacGsfGibP3rmBC28I/3I3vKndaO
N4i0/QkN7wIHi7vWZtdsHRnRgKkt2sGs4dP59DhNIchSLuTxlYa3Dc+aVu6IQD26FE/vYq5zE4Mu
IJPXFWDwfWp2d9pADyZSTuiV8tGAnRbVrvrsleMcmWqeVxOrKnzy98oh+HMljaxBlYkbS85ga68/
qfVLS7izNcbAxW3UX+ToLcG0evFBzZN2mYkqRPGoEqi88o3DsL8Tqlp2Wt812FcSSrraXj5LCK+U
yzs9cNaOXj9T8FhpJydOyZhn4g2TWIvKWHV73EzimPenbcjOQzWwBhvwxdTZbR2T9UVbRqKUVVih
M0Uzq+sdg88SyCLvH93YLB+Y0pPjlPNtxhBgHtGGlwcYp9u+HgoRKqW6PYk3+yK7iQ5Mcz52K7M0
hoB+fpjl8DzCiz9o4GZvZ2mkNQ9Y08tZf6rx7pVe2BqdyO/XeDarMy18t+xHf2BttCLb3rxvubmq
nRRUUsFWj+9X083urLT/qKWSRwsEn79lxoetJot9d6cP733HH1mn2yfsVClukrKudrqw+EjrSQkx
XZZ4ItLyfuXY9dOF846aI/ySTr2+byO2yinmfJ5GPoPZuqzv6ECIqFWmt09ttzzVuk1DNXU8dxg2
JQFYrxzVfcKscTTVnPZ7hTNYccGZdFom8+aoCgyRWOSHMmxU7T0OufNLATEN2JMauzl1S1p+XYOq
Ic0eQHfYNcnNQGbViJm9Ga0cT25mazuDqo2di+EeJjpFlRzuaqbR8BmfZW9IwJ71cKqQdrnhNlr7
WWg5JNUUeKEOEI1r5V3RoW35DGbuoRjdfDsvuCEeFl7YT2YX84gUMx+9YzdM1mtvZN0p3aoVs9Vm
Wj8GPv1ZYIxtkgaGFjuS+5FyHttSc0UYQzs8NRC+T+0aa7vBy+uEbqPhuGZmcpeWY/nkasTskfw1
Z58WEDoDb5vTN+XKPpqErA5GlqQfjJW651dul+fsugd5TpByqI6Uijb7bSYzOSmX58OcJqLuy6Y9
KI72X3Uh8RaYUsyXYeqZ2xfR6tdo4QJ0mMx/gjowmgtD7za+6FSyfrSdnr3xTk7wlFfjpTe36g7F
zvulg47bQqrJzEdII9MLLSPbbcX+nCBP+RO3pv1lQd3N/Cw12xGn41Ry0ZHZEbDpseK0DeAkijVE
d3Ar34v5LsKHSd3ncVqtMxpK+aXldDicqlGAIrBVNj/ErbSfeY94kVq2ZIdzTiBbOvA8A6MwyOB2
2bJ8FqSJJYcR9lCvqKf7xWl1PpVrqt1nOaqrL5DA3vI1Lm7BDYC2nuJBOoHwqu3INa/4kkNbPKqZ
+lJ8siLItjo+FlwdQ6NIeVgVdXJ3W2vSnNnPvbv6os/iCg6eh+CF7PVmzev8M3bT9t0FI7Ortdzr
fC3xEg9U7KqdOiOf7muL88ZnUaJ9Sn3t7wDjcAc26cTG07NiDXK0Wb17yVK7mIvi8aiMwZzDPMvb
1fecKn9p3UxKXMbm8JhL7JOUB5vtrQ1D68gzR8fmKHS14g5YANEUqRcBatbfYg/7RFRnerGExqRZ
e8JI2WPsKX3fwmgP6nGsc791Zb7neM4xkBkTclEhCNHPQ3sy0sEObQXefJ3GPgRCZhM+VVuwuJ2M
MOC2ASX1Q2SltSd9o1dknvoh7C0Lh5o2jdR6xzhiFidXx96REHMqAv9vRZcPjp8lY28EEE+b12IV
qmZv4K1Qeajr+mkzQF2A8QJmEPYPKFredyetq48m6ZudmZLNDjniY6COU9FowewVnIgW2N5jxuL1
4m3SeZ/QmA4qVZASsUewZFvN1fxB6Dm9GWLDfPYGUGeI8uYi4R1wLa4b0RzoCeUfC5rIXEoH0vUR
Fjqy+iJS42PyJlqca0u9JwjLD5Y3eHWQL0J/GyE7x1GizyOfJb3HTVI7xpfXAqyLCBon1B82efya
USbwfd0Gu6d3I11uxn5ccb7BCgqxprZB5ZjFEef/vb6N2WtbO7c0ZIS4H6eAJVc0u9A5SHh4D3Jg
aTE6MgkTj56i0PKUuKMLWAM/lDj71maw8K1ukj88ZxM2gQOVPNdydVYfK7bUfEMzjTUw+kyn6DpJ
bnvEpGgWW3wUeTntN2kN4abMcjcStDrDR4nssat+prkYuwBKnfMTYALhh6lH2YTq3H1PLCf+Ycsm
Bsejm1jbpbf1gerkeEnFUhzR7Ioe04ylX01ySS5BIMj8S+neVF/tIbWvcMZytJjzBY9n+lIiN3zL
LD3F429p3A/i8dwpBGg+4LZ7U3SVFyQ6MyI40ZO7VVq/Q8oZIZuToPDhaxavPRIdsP14Jn+fZtZA
oFsJO2rjbbspNEOdZrZrZ/6E5Vkgp3zGGxVd0CSGQ6VaUKieWR/bEjw3fMwXnHLzGODm6z4Ss3Xu
YT5pPw09634HBP33lvxvbskQASVOkH99S/72c/n4X1fkP77ijyuyZ3LZhdjhUX4FmAKJ5a8rMlam
fxBZxnTBawbzwxW3+McV2bS5WANidCDSXI0Z14vrH1dkYf0D4hXKiSSGiz1E/89qZeVvUcC/CVys
3C0auq/RWn5DvHivEs3f7sj6AFC0bRq2fHhHXyZNUpddAltcRHm7GVobpZrRE61tikdndi89+7tX
e8rbJ9VoT63e9acRKgHntbNdZDNqxzU27Xg/gSu7J72gfSBlgV+nzrplnxY7IGwtkfT3UDpX80HK
rBCVr+E0d7gHd6649eSmN9/7kpsL+/hia8y9KkBsX1zVkSflfo59csEzOA0Vd+m4yOVu2xLdwaCA
IbX9DnxwAGPi1FVpnFJvsYkiCd46kZPqst+lWOnUaSC4w4UlrwtX1/1FrBg+MjzoxslpVvEs16TH
NLE1RkPjk4wXdw/gY7WOI75MHVLvmjn5t5iYDb4IyMxTG7IAbT7yOna/rjZAJ9xED5E26lJgPzbO
PSfTn5aty1U48Fvo95SXiBuXbFgfjLaX3sQwM1iVDtBLdwQN8imisgcjI4f0oQL98rbU2cCVrjaH
A1d1F/aoa72tE9I6hQvpIeuzp6QscdeCnrq0om4OuZif8yYz9/kwc0JVXnIo5t/5Wkn6koFvTqJ1
yo6sYi6N7G5StikvfcKtluZdFF5K0v168hAyEvuTZsyZrdH8tuWgFkTrBcViHjFD4+6HFk1yMj8B
s/2Bz5Y2nLgYnzZ35AVGt+5+5FuqmdD6LQf+AgtZh+m43hOhfpy27NkuBc7AbLjZALqC6k9ut7R1
qNYe3pqqx9bd1IeCSELoZGa4UE4B30Sh4ijw4URB7lOQ+viki2dFniYcOwzhRTX9xJhrXwhrx/ez
12AE0a/FCOMY+z0O9YL42F5O0vCXbboTuWmHjKoULWCQDiSH85mJpru46BiRY0n96DRZtqspoYCX
zmS9XXsEslFM+2qysh8MW8tp6dY1Uq2lPWJhvio6yc/YjJs7SxuerCHjQkI1+h53VUajisoOdWHb
/pjptm82q6UhuIy7wbVIPaL37rpOeLuEpAicfs3bT/aMXbao6HEYmjDm7PCLZMzqIF6yH40pG9Zt
Nd06CYt8T6/6sGmuLO+aK61FxsG3dAZgQ+MWSU/YNwNrpE9C5lkr4+O2sYevetX61qC9WGus+2ax
5Ke0tbxAo4fwlzla3fu4OUFuDH5e4MnHndHa162ODiZmKrjDszDEENG5LfCyTfvVDHZt+hOytwWU
xtWTsMunjXGw4kovCn18JO3AdrYkJnKP9F7V1+Lo7FZRULMzm8yNYid2+sBg3fWtt6shGHRjS/a4
V8WpHik2DlZz4P/GB6vY/HgePgGTsIOLp+kepKeBNYCPReJNpeG7y7J+tQyNepQ4cj2NQ1YfyMys
M6R+PlpLQKqNNndcd1bBlRfsjNG2UEiTOVY7exnH9NeakyjEO4WDxgcrqOZbiur6tx6xYBLc3rjy
ManqUEO9aj9nBAjTVhN73AP8yYoZl1Vu7zEtc0osTPVAGLXIMqnGNtV2VblbM4q9jRVkgn1BuNsr
8qT37GRquS1z7YNH6kVsmY4po2jY+AynQWvlLb3yRYgZN7+ptewrpnIwzITKnklds2GxlZVdRLdO
ButbSjlZURn37Om+t6UoXBb4pndWsmxOhjfsCJJPZzJA6lGanvbEQsj5ECxNw6TwWLdUHoLVmKQ8
xvMiRBQ39bJby1W/2PEK0S4e+hDY5HBb9hSG8OvUOxaR6767PrWFjO2HapvMXUzGO9LaMmVtO92X
qcyibO0PM02Uwo8pqeRdspFgpHHqYTbXt3psrAO9E95nJ/oHZ5EpeKPCnA6mO7zaa175ma5rEdSs
oyRvEhajYWJ1MdTwK27YlOfaoN2so5WybRsN1njYJ/HuZAQS3GRHkprzwF1vs9kt7jZNny5Eb3K/
XkcsA/Ui/KVn/TVhmr96iJJ96klqRmbM2F5+ve4b3R4bV8cZPFy4vDnBBtzKh07FJxGfx3EAMezb
c2f52NcewSoLv3CbgrqHik7VsfEO7UIaYG25zaPcBQ1caVQ1r/pcVUOw+Cq8jQb8HdUXbZhXDTsv
QGb9N492o9B0C+oer8oM1qujp3nY5DX1a2md7zhUmmjz5nGnX1tUyWNjj5KyiSDEp7txrJYTsbSv
qdgu5RCPN8ZSYmqbuT5xparvMOjpZ7Hwg631FWpWNujHDVvjQQPX4LcKkWeCmMeKHrFXc/kz05OM
5aEqOO9a+33bcBHVzLr4moZ3QRgUDzxRSGNF24vNefXVmhtnPgN4tzKZBnNR/Brt0tstantn8UMs
YPM4y/LVigk+GLHwKSvhu+clPyplzAEcr+4+Jh5DuaLRo1e5Ey93AVhST96gN/5SXvtTDlm5ozZr
8adFvlQdl5Wq6PGSuPxSWyc7X43L8KsbpQhyqMKh5BDFmjen941V5g8e6YWj7ortjJuOb4NTvI9V
rCOy8nRxSk0vLmnPQA7mU5bZdTAlpJryxeVct7Pyh6gHAZaIBCHkR3uXT84a1J5W79h8VWdhiDmi
MEZSnbv+oOZ2ZWVgO/58rQaYoeRHute6z3iXtvuCwAnf0A03hZ8641LzDVP89qehyN947IvhcrVF
fGsdi6819fWpu4KryCsEWukRhEVKuOe2kb85uf3EPnCmMzy5laycD9jPEjKXaa4iqydCwL0kld89
q0C0tOzOX4mXyC22Bdlsqtf8cZqhQgMwo91vovwmaQRay1Jb4crP2RfKaO7Iiw4HfVucg7NY7vsM
tv1t1JfPnHasO1YXWh5NROwPuRpMVtr2xGohX2pOVjVMvgUZ1BOTh/nLsvhE6NVjCy3/cV71Xg84
NTVGDKFEYMm+/NV3QICvD2rCz5RtZ0O+u7P3aN0Wjww9LM2h672Ndh8gXCFBpCdF7PGaAjgjY+Wv
PeuqH1RNnMo5Ja+fNylFBon5hQhkPdVYnj8NgivkyNBfYdpm43JUc9O1AB8o9mDJsS6feumWKDNj
/7TNXXuMOTwv15qAvVfb9wjaN3HjDA57e9EsB0Pbcj7O9uR8xYmDg0/0Dst9K3uxuJxejDGzwo6K
tsjKTBWoRm1l2LUOJTGD2TwisnckVflW3C6FcHElxCy2nIGMBld2dyDIufTrXQ2qdZ8YXY40Pg87
ADciUvy+9oCCtH1uUU+6b50ye+E0K154xY2vFC/rT5Sgxwc9d7Kjbs1MvHFrn9p60nLghz0MttWe
y+dEEGu6mTTkeG9Lu5OnCR6IVJ+LCGgl2yHUCzJ1iwFJkcZFHAOJHm163z2QkBxedHcbv/DkTNRT
NN5NAwv5DkWl+96YFvBFp2/ALpi4LorqGqhmutqevW7A38T1oZ+/JQYnLHVAyPHh5ikTNaFU6xRl
Oc/DjedKop0uO7jvc+xu9mtSaNkWkrnnzeqO0uNB7JYBU40NbkQWkioP9i3I8LOtMayMT+VWYxLt
CRNfynrJ3uLKqndd7FKaU21LeUSjwrTl5uzHpCw01+8J9CFYLvEDjfD1Yak4XhEDnuaK2binNe5H
XdUsaFIn39nDltx0NSMp1OgWP0g1Vd+MdIaDrjtiP+PJPMODbHcrC4CwSVrKD7St7BFPlLWbsRk+
YEbriLdsqE35RHPYlBvjuaq30ZeAahHwluRe4KBEKnLyrrlbknSxQsQ8vbWLAGAOtblflUq9tXf9
EYFT9V+Mm5k7Jj7g11k+NUNiF5ioxrVxna4/5F5aeT70v2m7KRdJyLrPjajcFMl/s085Rxe3hPHX
2+ZhgGH4IkhOUT5NQYlz6AqexR8Y8eNQJ+GVnLNpQkTnI9zlkXCTObTFiBWk0AgM+insv/M0aIqC
Ic94XNqBu4DRanvaHdJwGlAw27lTRyTqPCR+mp1VbmVBLEbnV9U18lNHZt78LuuGnIys+tYXXpy9
GYYcg0p6SM88j75Lg6MFa891fzauSg72WDGCGwMwnjbrnOctn/UoszmdI68vi10v+u1DZ7C+mbGY
szUqbxsH0RIg1njaRDs8KJWp13SR1eM8G9ZpQzEORCVVaKUGxiYjrcgcFrDyGpTtQG+Lfk+rmxF0
NJ/dSoBzIcB4+b1nioyGZfEAUBh5lPCuYzhvVwLv3RCNpXPUVI0Cx8X9cUgyb9cBzPmw5CIPhPeV
HxecTGWjXN+hc2+fJeYUds3VSZih+hEdTecfpadN+1LIOxP4x5ded3dI6Gw0B9JcSoj10Bplyyg1
0qnIlRb7GOaqiM9Nu1OwX6J2Lbjf8KHUofdk9GDEFaUcJa/xeNGK956ZnpZSpzpolMCG1AjOBHnt
2sV1xrpa07U1kPk1chnLimZ5R7sbzG1Fp0wPwLnLC6vOOgA/bFIdT5PedQuU/lR03F7iOMs4aFu2
Fo3Gs9tz8I+KjTtp8mDrsPZ3xTDx0pnXh3TQvdtpSYoorzP7AC/TikSJcVXvm+aU6ca961aT3/ck
UDC4JR+9Q01g3awDdA+jdW8LrYU+UulFZJRscfLSM98SvBC+OV+N1xWBgjdN9W8tXGISnO5ekrLT
/UZNX6xJe2Q/fTvSAFvy/RtH1lV46v2lZre1FuwAc9jXIX1FH6SX0mjip+Vj0XolinOTJuRDtvar
zsvXPp+un7dRb6JxqHFLE1aNbJijfkkS4ZRnUBeKnsbpKgH2wcxs6IFWY+iJrg6/MUF/Pzd2XvNp
6Z29oRfsGjqZndFYi3v0B10PR7mMbjQpfUJ1Zd7O9Umw7EP+WdxeHT3sEdGGjfGQ5K7+c665ouVD
Ph0qOYzhrLXiAfUcRUB1n0O6DCcH+d/Xsd2e0LXCNF0VlmEbF6EgKymcanrYChqDk6z9wX2NUYwV
J0VBW14d65ECxiCZ+vWFrtveR++5mMRcnxmlvmVa2waUaDk3qY2HmFpkBseG+vF5A9SRjloX1tP4
7hntZTYA8KANP1OiUgT5JHGN26QkSBm4L/BwKzgYHT5s3Z0CgtvWt60psIdshbiBYAW/sn4blNMf
1j596mzjWpzL/LcyHdWJqp/SRryZqVFCtqrlV2/hLNWTzgwh/Dwvjmv+UqrStl1SuzZwTEUamADQ
SMGxXT3SOM1CqElycgjKjd8nHYSET1IDrZwet8fWwGbB8j6OkZ2GeaZPjwwmw39lcMdZrH1BCOSx
5sAafAWKxOaPFzsI/F06aDwJVWTrRXcSNaPkliULV5045EelnEuRW+pugvRB1qTQrumTIjOwIeBo
jSYXs0w06imFmYbtHvkH/hPJ1F8iEY9UgXB4uBnxCqUXp9Xi5WqY82dcUPq3L7QiiXAgSt9xcIRa
5XLaMmDdmm48szKug/K6QR/FVQtUNeQv75oeNeyrhZ0td5wZ1l5YTMJJz47Rt5cOX3/ejAfA+O+J
u50WPvABDkD9WCTaJQY2T80I1se8dU7KmIbdbBZO5BR2eVIW8l/r6T1WChYYTKYUq8j23CXTA1bx
L50FMSHT1Yq8pX5opapDhBnnSAUVhgZtSPfcXRAQke/viJq/ZIbsWc9oKsQ3Swdyadb7lAK6KGsq
A+Mcl7POGntycomOcjE0vl5YX4rGqIdR05Hh4pmyy2Z9LxID5WxYzZ1TYAbNB/MHEEDjaXatIrSX
de4C2O/zT6t3pifOPlwCttUFjt6Op65FjNKNPDBi2kjZWWroLFkmok6nTcuz6wsYg578rSnHUGSz
N0ZOYlTQWHU6TFrejwZGUzwOq/roYWa8WVBgq7DQtu2zEFSRBsZaaB/XHtM7Ry+1Q84Lj/2g4ywH
l7brs1NwRQImkUMozJJTh88/MiH2/GDO4tFKVPWR5YZ718xmfKGXb/zUMvtX0hmrIgSj9acWGfph
o10Z3JEz45zJ9Pk7vZ3jvRCp3G67xW0IyThVs0cFrYgXDKYKt82zd0aTGU5oF9kSKpFBhcioCNtl
CsaxpLP7lt2tNQUWL4NDFk/f1sT6zoRgPbVx0uzwEw8HnoM1srueRljPfZ6vfCMQfeIp0UvaZFPz
zjX6+KNaoMfkVewGhiNEFpZXn+zNLBhqzmWNtNoOU3rDDDEsu8TG4kGo3B5Psub88e2Bfu19ElP/
jUhEgnlGC7uWc+AlrrncMN7NjbICx266507J9qZtXXfCOeV4OikTNL5V5XGwci6Qs1o883Zm1fRt
4hewQ7cdt5exGHAvKSdGNEKgBuBcr/3FHNV4dvj0gMNU87CH5Z2dt6vXI+SFBY4Erz8TE9tTWE6Y
SnjNXychTpm3qrCdd9zSLo/2mA+UpKfYlbWlZWh1JSb7hG5IunTN5cka1YD4pBfKxrhLjkAJUJKY
Z5IvC9ZPErI+ThYM2ev6uJLNLgKTBy3a2mXFF9BfGf6CVzQjaKVCUnO/ZsbriBXBw6ox1oOVwLTO
1i601DjvkyxuH5ZkEi95zgQeWpIDe+ss457MPEaDsp3cx97qeJ9yljX35aZhAZAZxYdpiy5TbZ57
6VZteCG3BRYIUPVeKDCuXF5786Gn0uXR04AIg8eOvRu2naC4yqw4Ubw8PQlhIoZinOYpbWqOVXhn
bi2YGdM0zKweWxbuZt5Y44wq6Judl+S3KPzEeIhomOVNjrPA2g32bPGTrti3DmwXQ0rs7mn2lvi+
ViWia4Tsm745ySmXHJU4sNZfJdiKt9joGdTgx5B6RGC6TT0PW0uSZ+3LaFvA4TXeugnFtrzs6Q7i
spNFetLne6WRJMDIX9108eIcp1kfItXbxVkZNVGFwjH0M5XX8/chp2KLUxbLdarNMrA7GXOcDNg0
ilbdUv3oAvcxkqifNrWfe10GJiWnCe6jebi4ZWW+ot5qvMRm9U1nvjt30DV248D0j5zpoNJo6eOa
5lOAVxHfFrsM2r376jIO3qc2GUbE4RQf7JSdrrZuxsWbeDTMXKRR1sJyAsB2Xy82ca/Vmk625mC7
pG0+lAO3jpGJMUBv7k596o0XQprFGU/pjxoCbTTFmMFyd/2gEzsNxJUBF+OgoX00rtDKuvVZy8x4
B1cwjRS4tUjjg75PyRAGU7eKY9ETcQyaol4FQhsOE3MxQtvASjlYFMvQ3dS9ZaVkUU29+mHtFptG
SaMf72mRRwemtKAMqU+ZyscF/AMhX142uQXiCz1rKs4a9L7ZYn2DxmowaTTpziioJgJUdWsVG/9e
jx96c1nvZnq2fDEVz14vXs2Ew9rS6iiT5hailHx4NSEODyhKOBOjIGBW6iHJpGYnjEIeZonJP8lJ
WuKaa6RlBd6oA0FJtjuTmgWK3dsX1VNObCcjpe0Cz1c77KdNTu/awhpEmNorbnUdGjYTMrAPMLYT
L+rFHT8qL28f5rF9GBtRriTjXF7tQEo63DjanWt6FKPqgurIWhdAHrUvqTnjpRE1fHjOf58mb1wX
0pOvw2yN5AqX86TUcuzK9uW/5u56yIb136ytIStcF73/em19xTFcfi7ZZ/N3e/cfX/bH7hpOMABt
PMsm6E8bdzWZhD+B2zpsbcu0dbop4aba1zT7n7trhy8yMVu7gvDi7xvvP+3dxj+IkjE5Asp1KBsi
6v+fABn+KZqhg9+XV/QDH14DyvBv7u+/ba7bXJaoC3V+5paTrR+STznrRukMMtJTNFaP922HYHHI
wOlV2rERqWKa8iynPjQzJhObbuavzkzGijGV0wd6D+LGguf4Z9uVyP9QsLutPTDX/SaFFOW8yiea
F1hsYtr6XTUpnatJktoiciRA4HjNe3fQcAcHR+94reMm6dWp9cmsO7rq7Hka9LfSnEEu+5vUuJ9d
F8Q1dWju1SKKa5dHvrIwbwIKtIolPdvApJT7lAqyXjPrbzK8uH2Z5jf8alCO+m/E3m0jcnNYePpL
1jrDNhI9nVyBxU3HZniT0eUwor618Iz6bue0ar23QAKxrACfz5faq7a9q1p3st9rwf7rG/k3DyA0
lCtK/F8/gDcfdf+/jSN/fMmfxhH5DzD3DgwHPuDgGwx8GX89fIKHTwo69KRrXMH2fz1812fgz4cN
Wj53VwMZAAqEgWfoP3nYDPlP/AqdQRH1kUeX84AN7D8Hodp4cMs8WWyK6hijAtYUBqqdwVTJrb7X
1ND68MEI3voAHJv4tkFApf/G0jXc19tAnxW5xFan+K9nmu5YAW4LQ8eB3ivDDkZz4uF1WvTE2yIl
L+TswKJVcr4dCIWn3GAFA1cge3y3yW7oy8o+T7LtP4tkfhhk5mDAFBqtDantwEryCIz3bcKIuq1P
mrttxpkbSaaulKsaexatF/m2xzUFfaimJNli96Nz+UbozPoDdbNje59rcfHUtTSa9+VmpgFeOLi+
XTfl6sauO4o4SC68apQwNfwvVnuLFo+WsT3ectJv5sou/rrFviva2n5rHWcONa+Z3zPKU+43C1xw
M64WYe+UUqZ8EsjRjZmiJA+NpvbFVpXHfCzTd1YQ7avoTdFQ3ZR5n43nfpbLeusinSIoFdV65C/x
ZRpt8y6zMv3geSzdhtyE63qdwP3J9HhV5zVNaTqKKxN6MmElV7Cc/GZsOuiksb36SJbTAUmvuodg
1xMPr/Dddeu8J/myPjCDrCeNFz/boExgpIhjLTtAjcy++DxYD3kxTWY00ex4l1a1u7/ujQ59sxjn
GU7tt3RzqNB2x+a+wQYZoMmlDdeKQVxIVYsXjRZs6dsAXu8amYwhaeEG4yEufRDq6M2DheUwGyV0
ZFGPBDoZtGYtJj8+m9uhlDn63Rq32zv7CLVj76Ht26zdjjIV26deCeeY9oZ64lof345a25wbjVN/
j01hJfi92cyju2WSwxV3++ff8cvLKb1ollCK3IWOpbH1WyAcdXfKFXWh9amK+7lsQmeI29zbiU57
dDXDnXV/mst+3ngNYbf+/O9I838ZaRCY/79GvP/p6EioP/4+zvz+JX9NM4wskqGFyBqmvt9OzT8P
VEP+g4P0yjmHP+Vhg/vrQDWv0wxf5YJQuP4Xwe/hzwP2Os1cXe7O7wG4/2iYEb/57P7mw9M9+sSY
i/AB6oj88p8DoFXroEIX9gwNTQHXI589DxiTfRcag36Donx9nSN2XV/uWObKSn8B58F7v/htBmDP
cB0IjN+mg//H3pksx41kWfRXynqPNIdjXvQm5gjOg0RKGxhJiZgnx4yv7+MhZZWktsphn1ZmZZlK
kRGBANyfv3fvuTk5NjW1Aq4eXTowl+YQiIyALjjE7XpkIrezrZEOdglaAzXZOGL64tAii+GoehBM
yI2XDvJ4fVXmM1gHxjXEOgbwyIEKpNOJUKpBHGl+zFf4R0KcH019otH6DPti2I/V4EVrATI0cNL6
Mi3ARhQkIpoM74Akxy6K9nWCL512ZwFOkcYlBF3AHoAychh16FZyUCmLZgSLWjJzJENxuEp4ntRW
xjrhTKEv4dBk0b/Zl9OQ76dB5T6a4yo5ukXUeNdB0A3pup3BzTaGUWktzNwx+8xQ3Bg5IaxxYWeH
mmTJXbooj0Mc9F2IpHZKLwwUDqIwJ6QHPM7m/ejG8EpIP+w2cdsShoW+S07rNpoXtCgF4HinGZ47
Zc8fw6Xy3LWKGg40U0V8MSGSDh/UDkUvn0POXZejY+bAT1y1tc1s2EJ5bcxVayocNZWJyM32xi03
KXPPJGMAC7jJ+4j5b9KQ36BFAGU3Hb4nJYB2cKsjgEKFdcdgbys7oyz2VpfjV6ucCYDFWdTepqmx
doZi8FY+rd8KgjiilNodikNThfTzoqH3d3Icx+2I63pdRHKIdrPsoMWoqKY01qHt71B1xMvimNEu
c3gad1mY4ChDwf1SmEEgd4EqUPNjJn4w2R8v6OXkz5VICQYQA3qN2oi6Qz7EkdhI5d0UxQwhiM6j
lkhCzKxJpeamMSdzQMSWM/1ES7GNPRXcTE5T7xGHMcxo7AhNJ80Ndssie3BzS4vK4z7/IlKjOqJv
kMeu8IoNCczhZ54GRTppagavYTHQNgKKMmT7qGvkYwiR4ziqwtvJnFjGVYDD6sG3hzcxOsZmmDn6
hz6gJfRWc3Jk1GchOIumAYE39dZl4RIrmsWO/8lH5buHHQBD3yGPy9ywo8EokYVhbdqweXTsXF03
pMK+5l0RbvDlzB8RWRWHcAl5BA1DoDdiwMv2WRv4MKqpvIYyDvGpYy6uWwC4Up028zdmHFYf3IiR
8WgEAJnoCj11TV7QcOzC/D6zEUS0S1bvkcbuu8rnPvRCG8uSnYk7J2769dxNVrCrSgw4rCz4GhFR
+qi6nK6+UUUY7OjC5V9LM5tBLrcVmhDA1QNskVUZdm/EfNgbKK7jGpS8fWAcFhD5LV+YtT0xAHHo
t0fENeJI8FS2acjYi/JxVTdx3bu3Y2uEES+bOXAK1OqfXfGv7Ioe5+w/OmasdU7dW5e89d2PO+O3
H/u+MwJe1HsbbmxOCmxpJtvf953Rs37zpINiht3P1hZvTiH/sXFzCEG17hIW912+/n1nBLyI69t1
tFD9vKP+raMHcZG/2rg9y4ISIDntcB4S8hc8oSNn/OJIrQ5VCWZDxkm+jZcS+UfXPc9u9go8hQeo
WjpYwkzNMzxWK/Se2cmH644Kz3/0Bx9Ea95lVxO2isEHdeEZ7jUiFTphwoDFlvJcz0xBkYeUC5tj
IaBb1QwQ/SZg5G0k68DtA+Yf8q4OB/RfcViuUttnMtx4sLFMXtOIxIBAtuQ1Ba62NGufhzx47CHd
IpirpMa4vbpGLTYcX+jGar03O6U61oN6NkFjrxdnsFbp4hjbIvQ+Ata4Ty3zlbGgRsDVz3mVvJPM
aq2mykuYI8g7/NctM2M+j1tP3Vao5tk1U93y9/DLnRFeDNQYYSNXwdB3VMo/RmXXbcOWSwMCdxt1
BSnVafYuM4OOMNL+VeUrEkkafmmOm31lZ9EHPgKXQfjHImnbTcghCBg+72GobWMbh/jjgG4z6bJV
vUNWlm9c7D5rDNV3+IPoQfOTWMT8VRIg6sf8w2Bh5hLUuYVRqzOXu6jK7wLM6du85SVzeh8Xjt1A
IBstue0b3pBVu9kGpOGHrMXly7jT3wRV+T6XTXVomJWtnXDGyIptC/1zHr2FORbtTgWPgaALjoeY
OQ+yerb9lC+4831kGFinVBq0jxCHs8uGFBQ2qXzZ1YtYDqPPzWHRPKdd6x1903g83yRJgyZ/5ui5
qT3uA4bMxL75yVqJ4HH0TWbJsJrWhXDuhoQ3FaVgiGGpBTszxa0GT2w6eUEnWev1XdTxd6kwr5PW
ZMGsWrTmA6GtbuhOXCZuLIqxel04zjX38/sUZNYKDrC/ysfk1bI9vvuFf0tDBp6DaZSbsfNbyr6K
nym4Shx6/I306uVKNG3AEVY9n7/vAlPsasi5reDnMKSOuWU8Le+tGoZKvevnJ2FG7zzk3NUuf9eP
uTvBZVqoOvgptqD5Q46eZeX66atl8kZ48vzVUGfJdc/looZ5nBe++bHhOeHwG56QNS1XscfTEXjt
swemae16fMN+z80ELfH6fDFApmGCMPirdVa8FhXqe/DGKPNk62xxKte4qtvwNJcIg4o2rdeSQpdJ
2zysLUwiO8wBjESzSmwKZXNJxcB7iOKWBB1j2kfE913im0zW2KrllhgZ4MWjdZmMKcCavuIuK/mP
01hmV77kQeUALTb+EOfbbI7yreA5EfmQ3A0xBmn9eFnpshyE2Ut4O9SfPRUfh+qUEXDB102QSHaK
YlHuJ+xncB30Y4j8lzBlvlvSWHVEUEmLL9RLCLdAWeOrAJDD2FDf5USDLLuqVsG+jexsOxfIYykM
cyQX3M7nG0Df4Tzid4m9lHtrZhnDGNMh1wwWbCN8dV0/IocG8r1GLNhppVj4UmvzmhPzUReD1yoR
GAPRs1i9sDIAxeIrMLP3KOP90RViXTF4mgurI+2oNInvUX156SViunYQI/hj+mpE9DMRb5WXCHKz
be7xRPSLMA6Rw3NaUTRezl4c7Giooq0urPLSaANenTAa1t6CZhmLg4kfMpnsfRCjdYOXyi8zR6aP
reVqraa1UYomUcNY+jii29p4JbgfRljiABSKOU4esShGJovbyFcHBTrYh728i8kl3i9mOe+RmiKB
tAdGxdQk63DgLYw99iYekepQEEF7KODhfFubZDDRZ9UP7YDKdW1EBqpDLA6O4pZQjn0n53TeuyEt
G6er9LaDqH9uppoaik5TVjGPAbRQXk6uPeGLzN454XJpZp6A87Wmp52hb9SuCZPv1S4p4KFBthvD
Jx8BhR8dtdwIb6W5UM5WMNL8sHlvPP4YFNuWhx5mV8J6Yht5sjOVevOF4WxLgzK6aryPRYXYOzPi
W2Psrz0d3W6NfnSaEyjsnIAIZ9hQiYmtzMgjX5UTxCckFcvnzMkZ+cDqtcF0MBY3QJqr9FXiRt8Q
9RbQtBLy0UH3vWkJREuv8Er1p2QUfIWWCDERhxGauG0qqB3BgnT4c2w3JKuJhAFvp9qJc9mcdXjd
Z5J8touNzmTt4lw81WH/YhCI9KUNhjc7EXjgI2vK3v3GMhaOxIgV2jUPxnjoSlXtgiKbcCcpA9tH
nYIdK1LGTUCkJCgt0w+vgrFaYHiBDGmvETn4aDwCuy0OaK4743mObDSqfTTkl2EcWMzFwaC6a7Rt
TXLtQPWct5EsQwOlDeVD7LmPP5Rit98O9/89ypPiiemIC5zRJVwYAtKvKX1o8ORiVwqNSzJjk1ji
9yRjc7FQcfeqsriteOrshDv9j1/3l1but9e1dWcYzYxniV/qqWC25QxJrD+Y43mx4xm0kuxLORL+
NNXZ+x+/Gh2Snwla+lN6SBRwGAa0OX55NUY0jOWJ0jrkMzeIrgQCqAKELxA3dn6lf4YNfzJsoDn1
h7OGzdf8ZXxRX388AXz7md9PAEDUGbdaMJmQXH0r838/ATgcDhjwMT43mQDq/tfvg74AJyp/4AWW
zRGBieN/WmP+bySqwbtGniR9S4q/xXEyA37TT7dQIBzXNLG8mhonJdxfbqEspSYyF9J9ZneOn+nC
aEF5bdGtwQzIIdVTRberm/k2r+SiyZ8UVQI5YhkK4s6HBJ7AYi3mc5j0yIpKbHdr8t7Hr1PnGnp3
hzMT4g4n/+S29A0Dl2P+2TaIFLM4p+/KiKbLbIloq6aARjkXMTkgCHcesFWyvE/dgkHL6ThRM2I/
eE0b2uswLdQJ1UBGScDmbnjogboYYS6gZ3UxNZr9U4AiMiYn3dPEhn5mKbc+eksSHitDdfdkFtgn
5hGfU68xnhNCbx8jRgkru5nKfR/IaIvmylrV6DNvlolFopjaOzgZXxwj40MiyEVxLO941rNdEGTQ
fRyLYB+q/72IsvdaAVNeiQAvIZYoqvCajg4q5nrXLLw6HfY718KKlHgYS4iBR7tHkWH6j+HQXyGZ
AT01lQ9jw2hlYhNYEf4z4Fob9f8Vl9VcXJJe+BwWaCkWs5tO1E+fKbDJoKqGVW5Zd9mcfW4caj/C
EB8Q0S2Ea1Ae1RYSm8yve1z+FHUJBkduwcfJCvED0kvKQle/BVhMDr86aCZr7y2euLEyA5wJ5IWH
qA3yjxWHuY8mxJj9ufLHU2ftXJPijMMP9nyyL9qlvhWuvRxC28AOPDcvlW2qx5q2oc4YguZp1Tl4
A1nf5qNzwEfg0zKBvDEPsXq2M//RbZNqX02wds12ji7dEAEiiSfmIWhcf0s78gPjLKNZ0Wr9AJwh
OtlF1XqUKG1xJ4MQgZxAgUpoj7DuOplb10XSQEkaZUyCX4XlYZvH5YNlmNPWUnTUwENasLw6ujQ+
4F3Lil1ChFGXpcmQaO0FRIZigvipGsQ6R4TjJgXCXK1SxujAnwe3Qtg59RdRhIBoNyrD+eDZY3KB
NUl8RtQ2bNq5o9BLUrRvDtey2pm+ClEBQrFA9t443bFKBSpZJ+3md6PEWLr3AfKE73PgjVe5VJbW
pFGq5pj+aEfn0Rr5k/nwz0L/V7o90nTMP5R1XHH6rhCl/bjSf/+h70u9zxQkcODhSUQbejX/vs4H
rPM0L3QWwn+WeBo5rLumKySDX1bxH5d4Vw9GpGBjB1hJBW3/nfGyY2kU30/jDyIY2GCc86SFjA26
Wj9iCJTppo0mFp0WR4CLyfPIHboVvXiJUdC1h08iKrxrw3Gq+6Sey+tlDAyMooUgapWewha+n2A9
zpYZ0fuU3cQ+AVQr12DpDzy1n4LEOnWcc+DhJXWzcfzJ5ywbEiyKX2L04DQ58cWQj9WlOAv8UTZd
1rHKboHK+ftCBPFe25H3EMzsbg0KPdy0febulyRWx4xxzlXfziFq1Rb/CP34Tq0K1o4LeHrjZySg
tCYILorWVtwP+9SQ3WEoq/C+amwbnLIxTsdevGbQDl68LPevYHeF1gpFLCc5G5f+OLgT/fbJvRlh
EURbBDG5IAIUboM5h/YhU9J405a0d69OghsrLf1jFRbqazTJsKHnUZu3CW3YPWFt6t4G6XVKMzb1
1UwwFXSdVH4lNEtw/iOgqs5rC8IVSXnXkSiji7ZejLfSjRhUm7SxrgknKeFFNc/g1pp7jj3uPov9
4UNcdx1Rsd0EpcBY1KsdetGzMrIsWPeOPdNcilBm0rlbVr1fHnOMCHS3NawkJsgIU4LGmDRnoom0
xydXupKLXOavoAE6MLlwUExNRFk0GyUR0N2WyDllqqtPStNT6hCtKlijdufhWpAbxNrQ48XcS7Wq
NHolOFNYuEo9v02zWZir54QNox5QVeHyQTXJpdVQF1OfkFMNepmaMH+kYx4/4ROPs/VY1lg35qnC
hE1Dz9wQ8gs+Jj6jZBiNZ8dG82VwmWmywxk7g1Qy3MU6oj6PcO2tMY9AoF4sk2wyDjPvrLe9Wtfs
VoAB8nbZ10Qo3yYuXR27mb3LSFULZi8CoSSsqqu6gwUtz7Cc7AzOqc4QHUfzdMIzWifA9PHaTKNN
kHDt4DrXFJ6qFsVhwWuOC1FTeiqfOLmlcIK7KJyxUQDzqTXVJ2bW7irnGhvf8FZq+g+UjwaIv0YC
DZoOZGtO0HJGBqWaHhRojpBxRgqFZ7xQoElDzRk6hCWwB/KgUUQDMSOfuiAn0SDCEQeXqWw+qxnL
UVCP5kumLDyDw9zN9+3o5f7BtrKRHFQ/gJQuoZsFZyxSeEYk9ZqWZA0iviDD2H7tXU7aK9PmpsUe
ssBYwnhB5SRwPDgawUTrLHhEfwmYaT5DmuwzsKnW7CZfU5ycKA4+EBn7aggITy7lETZMd/6KIRMA
FIlsVbmlTVg+p5FGRDFiBRdVanJU52mI1OzBk/I1Wao4Q6Y6zZsCMtRt6k7dEfoLO6BJeJ6VJlTN
mlXla2oV4gSAaZpkRb5YojtGKLVGOFdZZXonR1AwoD5Jfa4DRKzqDMdSmpNlaGLWkMPOkpqiVZ2B
WsYZrmV7SnwiRBmeqGZvDVKA4cJTDJILl2iuY9Gaaxz5ILsCTe8i5AyQF+l96VN2xns1Z9TXoqlf
aLoBgCFOqz8PZyyYrQlhjQg45zuaG2Zrglh1hom1mitGDLDB4rLEwao6g8eILRl2BhbOzy5qoa84
/8dPs12aV9YZW9adEWaWM6twHUB8u4mhK2Yb6i66HvEYHmMI03JtivoB81xN8nAwXigXB2yR44h3
S+9kM9nd4EanhRy3+WZAPH4EUhFt8eY1tN6Kxwi0xr5VYwiC1DaxfGEOhOmfzeWasscFGzYtXxaL
DL7tYLrNprL6YisqrTPJhZ/eTMLMh/7Czhu37Na2grz4tBjwCg+zRwKoePbnzMU9EivLZCrR96CN
b3CDouYD9HpjpmO4W8xc3btFLu5d04tuWRanvedny3GIxo+OXZb3DXOWe/pReIyIkA4/Yjcpn2ke
+4ylvXI8xXOUffR1nN2qHXms/KQub0U/FbfoLZsd5BZgNYTQXwdR0TJaoMWZOipi2Wa3Ywgw05yV
Qb8D1tOkuDaL4joNBG/XzWAWtpybYP8YNY96IEGnqda9bEzePo5deeU4ZYipcunCB9tXLsP/DB9u
b/iU00MYf7W0mKY862oAU1SXsxbbkMeA7EYLcAjyFm+1FuWMs3L2U9f0OwJraDed1TtLY2AuM3MI
5uQtrCaz67cNWIJtdtb+EFW0XMhuQciToBwqxvS2yXu1crRkKDyrh2YzC+9HYGFY3eQVEOmoWpda
bDRr2VGkBUj6ej4qLUoKGPkfWC68PYom4yY7q5ekHJ27HDvzF3h8ySGZDOb2io4eryO6+TRrIZTM
1LgnJCE4kl7eflRhVdwOWjrF88ThkCYy5fJZW9WedVbLWXJ1Vl9h2kI3fdZktVqehf4POoKWbKVN
bt/0WsbF+WE6tmyMCenu43WJ2kto2Zd5VoA5WgyWaFmYGMPs2GqpWHlWjSVnBVl8VpPZDMUxXwhv
lwxpdhtq2RmqtHGTdab7SWpRmtTytE63J/HDaNXaMo7OsgU5I6sHgn6eE4mdYzvETKUumrPyTZS+
jDlgjMGnREvjHDNom1v3rJhjQtjQJnTdzFlT7jeQI1wyN/fkMmq53XzW3rHxc+U5oc/I6qIN/hZ/
hpuHYK8GnrWOy5L5S4qej8NwlV50KqdT13dG/OzUlpO8SJSwJfEYmXC2ioiTSEdbTM3iXpnmBIOI
VNcsEf2JW1YSKoL4BYHvC1y1T5S901OWGeVbOkwSyF7vPZqM905NkzxCtJu3hdWQttm09drroQ16
1XTv5ssnFsB3O4lf0s795PVj/4qSmAGJrRwG/E7/yQuM9ECnNL/FL7tFc29c8uXgE1Gcv0ril94t
Rnr04Gt4t6uxAYi6SvokP6hq7u4sh2nVuu/tGMIgFpLo0Qdoty0WclZj+veEAlSjUxj/zMq//pXT
k84B/KF1uXnpXv717QevX4qv//s/m6TtVPLW/at6/xfsi754TX6Sk337+d9bZshrBfNwJLjnmfkP
RynP+800mahTPlvfumb/6Zn5iHJRn9LsNWFheS6t2e9Dc8v/DS0Z+njCBUnSRWH7dw5U+lj443nK
ZqjpCNsyHYnSzbX0J//xPDWbJTzSeRIHMGPoed7zyLiZZrZF39+UY3nAAnlqRbilDfGMEXSVWu2f
dJm1EOH/vQV629B2+Mzo/n850lUwRmrfjwSpLrO4Du3nOagv2yHbAvmNMjgtgj0AqSdkVzsPr+o6
ojyRdgny8ZPNZHYhMgXN0JVYjFVS+bBq8ex55nWjlTa2A3etTjfGEFHi1282hw7tn+7LmG39c8ok
Vf/jTF2DT+tDu1T7pCCyzNjOTnCwIajSqMjY38RQosQXHaMGQ7WWtRFQtmer/Dj7GQhI0zrgPF0V
oNNtaV1E/QgkNF2AXbZgKXIm2lBuaYcw+uisdttml7bR39G36bf4vFdY5Lo7N/hkWsa2jbyXpeUd
sEKuApc4cVa9oglWIo63fUXdApNW9dk9+TyPKf7FbdZSjnT1Z7p9Yp/k/S3+baxlJVlJpC+n2boB
xbHHQO6vxg5noFWWb8Vki32G/2k1i/Gt1DROt28vy3bEQ04qWO1i8a2WXZJZNxHxZut/WjN/ZXHh
SZf0NP674P9pJsWljH7szHz/me8riils7amh3KfNjgZUR1L+W6Bq8p9Q2fAo4cr9sUOj409R+KPC
8RCwsmX+e0HRKhwt9RbaEYJyn+bN33Db2D8/zMJnOTGxpNGAQqBDqurP6wm6fk7EYTNe98WXiBo7
zl9/uBq3/38Y9msD6NcX0EOrH9w8arJQOky8gE+TN/ahvAcvyXCdBDQvvvzxSzm/LI7aFcEI1ZQW
YmDsQ78OwGazRfKf2+ZV6oAvS0mVMSQWKLBdvswa53ObTpH/Fleh34k9AtTWWNgwnDkpT8ISTVR8
gXnue5Fm58fIN/ahinQCcdl/TXwB9+SyV1gV7Avh1ssxb4M0VI9+KmZyXIwqfJzRb9JidU6kkJq3
aVOh8pvTsOFoIWHEwhJTOPvlADW+XY3o9zHF5kUTZw8Nff9Bkb9YDl6FYMTHzYsIV2J86iVc5zr5
ME95f5GHTc/BcZjzcUfHK7eKC69z0o2DW/EaWZQzfjYquIOZEeEQQIev1sJzbOuGkrheLtIOx/bD
CE2R5dgCZB1wKgA0BQNS9xKSdv/PqvFXVg3TOlvn/vuqcWBwl/zUzv3+I78vGg7SdUGlQUSR5ZiO
lq7/vmi44jcik22TSe+3Ad2/yxApf8Pq50miUTzbdtG8/3vVMKlQaBBr15D4+9o95+cagExfC/sS
SDKCk6h3CFH++akWtCnBhUbyoW1xUazqpWhhnJmMGNdLXmj2YKTuEPSpt9rTyvA4M+5l0Mz7klYO
Wp/Ed9Z5O6EXIxcKB41rrjvuxa0zDfWnFtIXz4IR8cgYQ5Xcporx9cqoiSqs4inb9TZioBo9HN0y
Md3GQTlukjSb9xVDsfslxTsSRGiXYtPovwIqRUAf26N9Y5AUezMRfkmsZduNL0FUzy8e4G1QiDGX
bR1HA808lall5xFQe3Jmo35Fy5y+dNE439JXQKfop/OnWS04DuuI7qaF5uDroCITPlpOND17wF0U
u3dmZ3DY4wgrP0C+X7I/KcN+AfyevwKXrj7fKjk4rHyMin9cWIvFtrEyte7Doqzg6EDyxPY8KbzD
FaielcXMj5JGFsEtGmd5WY6Sj1a7PuDbJBNgt+N03mJUq44Q1IarJXTia9nb1RdMhcZT2TjtfTwb
E6iyNL1CSGzGqMWI3cjz0N+D9Kp3fWtVN76vPnQcTA9Qvy69aJSPMpbgMIMvaeM2f7KZaEDyD7Un
H5poG30D488QeD1+DZWufdePGP6WD3ZVhJ9M/e1HiOuf2d2mW8MT6tinliIDZKTBTvuP8FuDUPsW
ORcS0Um81pnJZQiccbrR86zTCJjsIZz5p8aS8qusK/MiIs/0Ju5dJGVRM906fvgR1o7cBxCKPmYl
0iU3y8Uhod7ex4YiO2XQ+DlCDvFiFtzTVieGC7FYX0q3vxyVNA8dIJoDzUEgUTbgpATV33ZyEMGJ
Ooh3TvIpr4P0BMVxfKMPgkqos8a3WoXW8ZyfqNATrsKY+Xc9gJJNxumehzK79gbW77zNkkNmafxJ
qjDTK7fdZIhNL3w7KtYJlKd+kyRts6q8NNhjc5drmaDe8spyup9KvqUVjvT0qoit5nL2c/k0M4j/
6udNodBp0i1iLsiQflo8c1fikzgEU51g3urEVchZ5JZ+83DlZA0fTloIG7dNvKQ46FEfgtaL5L2R
dNNN25lcUJlEu2TxkWE6+tmEA43Mcmyf7LglCYkoyEvbVsFaRNN0/SfVwc9rFtWATz/A5PBmYnmU
gDp/fmDYYMMwGjzjHnzUctcFfbkHgZ1/ZDDhb5SHCpj6iHuHpvwbHNBl3XIWgGc1zvGXFKTDdU2q
z6npRPPkNdC/AFMRbcAwfAq0IrF3iw9Fw2/JBkVubjowoyaKkc5IqAMGu2jZtg7Oh5kI1vtJKEBb
Hgk2qJON+crWmj2Wq3k32I7UC2qVnZRTdyYyWkNu6X8QZJXi4L9GBLncnW9b0gsCBul4dVSDEI8Z
Tghu2adpaRTtU5Ca7RO+vwYRaoIsASpcETNcLpNXYB/7plKQD1F3wi6y+t7d23iTvW3mx/6NL5pq
3v7x5T+ruX+cBFKu4sKCiu4ynwTDoR/tHwrBsUFxFhE9dC9VjTyjg1sIqK8xHtIl4BPQ3BGIxVrj
MZ0TEPrOVAf11aQYSex9kbC9WDyDTEryJjz52VC/ZIOrKO2asWYYbarwEzYdPgwx4OaxSXpj9/c/
AEdB3hZlPOlS2p774wcol6yFLRF59zkZRdspNafrhpSPXQO/Qmkg8wIDd2S9kDrpr4xReyOxrV9E
KJwLc3TDd549lKVQQ1+syTMv3XFCfibrPtw1QKEeyQgiaTMGI+av/vi9n/fjXy4+BwkPKrxkGnw2
yf343seCvvhij8591dPvXY3Ej71zN5PjiHY4/2guyXKVTu10k9Ne23eFzyeQNO6geyXDqSqQfY6B
VMfcGRWemcZ47Nwi2AdECyGRbvryZvHb5NKTfP6xoPO46tqxfUdRUfMVMX1pw7E/imUBypU1y3Tb
22NW7j1U8ij8nAUmCxqaDoj3E+EX6cHwDf/UJg0qYVRMu7y1oh0RKNMnOr3LXo1DeGQGqLYL/XN/
3Uk5fTWRX6gVfjnkEm0tze1i1QHYpuzVJPwQFFCJSAde4TG3h/AT8y91pCaYbs+PHoVw9EWFGFC3
bsYf9mUWnjAyy3sEynOPABHtbCCb+Iuo22UHeyn8xJ03fLXzQq8g+tIwfjoBRwaXT2cDIy5uq/s6
IRZqBp77yHEDGrSNfP6ZecybVRXVkbn4dMxG2WI/lkhR7VxextNIPpqXT9dIo9hL/vhGoEj8aQdl
FUTWRc1g+qzZuhz8pWxgrUbADNf+HlsW/MVZ8ICtzmszkNBmj9s2XhMRyQeIF0hulGL1i0uHnu4t
a9KWAcQxNhqPg2KanxpCi8fVXIgkWwNtTApAJOWOlBv9uJqeeJ1HkX9g+e9e5WgPX/vEs40NFpPC
A8LpV0RpU45dDYD9t4UncN1hYUQ9lVt5CN7XZA4OhrQgZyMyJrh5tXcEw/hhGivT4l22c742aHKj
yzHuLB4s8rh78s8agCt33F/xBnpNdZjMpd3bPLUHqKi65NTfaw35+Aln5gFZ1TBvJpks28Can0xi
zzdWhYqA9xMDWk95IJBscbOmsoWoQ+7mm+XZxUYNQ3aqzFQcliCfjZVrLc1+aWRcXUmyoYJ13Wfx
R/aB5GNrpBrCXI8WAiDiCJ6AMDEtZ87lRgTAexDKC4vVYNXGdfzF4PRP9tGoCxzmHSfhowwz2sIl
inbAVYnWoNt2GLkFHzdjycurlgvVjlCQIW33PAYzBmkCDt3WthlIm+VjFHUtOd8wUcljSq3X2AqT
GSi+W2cXBLnp8ieY76IuAb64RI14LSBNRuuuKXBFsLJr8iCSsIjWNvOSKvPhN1bVhWHPjG0ceoXP
ZrWQsEf83HKXEp3er0wvne4VteUB9yIA6xYw5ztObP/o94uxpVGbIf11Q6blQi3jFv02sxNE1jHY
ohDEHdnitNUbqszVFKlNh67aWAGbFpvEWvJ3Jh/3KNjyZO1QtpIWnHng6MasuPagjN3KwsMYL3MY
XG0wL3fnB+kfTeqfaFJNNhE2vv9+sj1+eYl/gs98/4nfD7YmLS/b4n90nTR9hvXn94Ot6XF8pbVN
U/lnuRLaJtYtHGIuqxaQiB+aYSbNMIeQWYknDcLL31Ok0qn/ZXXUv0HwtjjgsnRav4qaM5P+CgZT
99qJbeMYheXUXDBHmiU0KXN2vIiNqsis8jQxRMgfloT44FdTel9jvBAP0L6Y0JmV9Uj7nMmUZyQX
SKZAQOTSh+9ely4NMPQjAcRguKjdvZHLiDlrNI7NB1E2zJXLb12dLKAZMwx5ml57Mg4ahky5v0tA
qx2LcGbxS3sinGYTPFuR2xtUts4uTtj+t2nQ32WoHaHIMEy8zK2a7nwvu/3sDs1JBmr8wsT6s110
/hc7aKHWjJVHNyypP6siE2sbaPfRtdoXS6U8mpMfz2g5JcbfZY6ng6gre8cXZVwTHRhOG8+Dzk5n
jim/+tbE8ureLAbYlnlHuYYF58aIY/k0YHS2e8h/ZjJh2UpicT+3ZXXf9Q0+9E485U4SfJhQdXBE
R/1Zy+BpAri+HQTcKWso7jjvkjXTK3mtioKTnm+R6pomCTkV1XiEIZxcBUb+EnQN9Km6pJuAteyi
KfCLEJ0+vDJ+DYmxcaxdVppEyeXYnJfUN7/qwrVh6VHVIZDJV7jJahuMyfTsQH3A0pakEUY/H3h4
kfufpeyzrePB/QNs+FQkxVNj8NJY8hda/uPwKeywa1BoV2BsE2/t1OSJrvDQDBjvCBUxUeUHxYMH
MktbqGM49NyRH5qhdXe+GSas4X2eHUgmaNiEPa/j3Q/epjQgcewFR815A0kAkbSbmdG9TYDc7Ty3
y004xkjHFru5jC1ptMQnTA6vYlVbeDT2nshcymXMy8kDLpv80inq+TKeXetKU1N2LslVt6AG1a5s
2+mt820gBZymwAtkJA8EbYvGKyI8cl946XipljA5TE7ZXnYoaFmg3TH6EsvcWOf4yg+x2TElmfva
uzA54ZK92HnieixnsXIVYRgrVUpRMucYAoIc2/4jSlQQMwTFyV1mZc28nrAhbmQUD7shls46MwpA
5RUZ5BcDDO6U0asNSpiII7ULxukyaXhTXuPWp3aZ2w8RPskCioqM36t+qba+nwfYMRgMKcf44iJG
ZBeNU/wy/8femS1HjqTZ+V10LZQ5dkAm6SIQe5BBMrgleQMjmZnYHKvDsT29vqhlpqrU060x0+Vc
dLeVdTGTDEY4fj//Od+JWTfbHU4UPOdcl+3GbrZ+LsLXDFvTiqZT7GdVdl8GQbqViSs+B+IuWysz
va+CHTRDYjnwwBpSDxuC4a46sx+/hbVjoxbF/hoBP95qckQJIepxPtWjgc8wwFB0hFWJI6lk6Nxg
ZVvu0WkpdmipefO8qVqT6LYOClvChVpZ0lhy1C9u6tYPWKdTqtViHoZ+mGQno7HnlVuGQYnzgB/J
AyAouCeFCtTKSDdnN8xA+AeY2X08byjEWJ6HqSVZyJ1sm+LZXMML51dCH9JtGlTdvYdTxiQk/4QS
5F1CW++7yl7uRk1jZj3hXtJ8rKEmW9OBgsJxH4xefU+Hg7ExR1ORtW2C+bFQsrmFOIEgRDPdO1Rm
Kl28Il7psRsPwZyl8aFCZMcj3uIUq1VkT424LX0D9kA9PiRO293MOQhoDk9xVjikotqt4FmUGZF6
0YbrxB4pr2jN7+boemfIm9XBoqX2UCrtrTJTldFUNRbKYZzsOgsgQpw1Twjhc8xMbvePS5jOP0rR
ENA1/HlP54jz4M9tiQRoUsfMREnTZuYWO3oZmnUWc5ALa+lPIC6m50oKZ0tfRsJIOHi3Yqqw4tUc
RGGSjuu4CIM3uxbpfqYiNDImGW46B8T5Oleu98ZDcNmzUKbULcdhMY2pHc2eo3/msQEznFjuRbWI
og3MXGYc8ZEsZbLBjCAxiw/DLhiUwc2JYf2Na0V/05XyAvtaw1CgrMLuuuZkXWMPS3XFSk7Bci9M
/KPw3IvrNSteNk7idbvSqTOQgFOwBkMwrLWfOj+SuRo2oz/RuoPeVHBm0utRjICSPNe4SQ2nxXHo
jq94Kkkxmc1y8YIxXFNg4L3pIOWzYXvgXd1AHlASp9sKejMHVjKuRjdz3gs5EDv1SWKZcVVB5K3N
j7FMnDVxi+dYc6Rb42ztiWk1JWHB2KV/wwQPKxZCyqG8LMI8MD1wL8CS5W0KgXGEAj43pERqeBgp
ln8lewFSRbMWnr0qvc+lmquV0eLGEonXHkMK9Y4JBhg6sIs43HNuGmg94kb5hn1ZFn2vk6xftVLI
k+YFg9GgNaqEVR7jOmO14nFtwQBz4y1JeggD41LM9DBPY1ezLbYxAztVEmAz8vQ2CXq5UZjOIhHE
N3nRFLvaU7jvBJvlahFAHpuSDl005q0uuQ8lPUFqa5JXQHdcMm93HN9jPH6Am2x2xiC80zIo/8v0
pfzsVGOcXdU9KLt0qeVynsXskIgLY2Ako00svDeWXaB9PFeuPzyrMtVH1ys/8iXvDymY8m1bkHUY
9FzsNR3l9HEbiTpmFgYtJ0uci0qq+n7hPrUGqM5qPs8fzKSx3oyxGm9w9SHU2GY8vJpZZuzlMrg3
ZZPlR3Zg29rO4dZa4q7wnBcsV85KBKXcZJUdr3yyeU9hkDQ73QftXRP0ZjSpxt6KNv4RFAlHYJKm
u0CRAqTPV0KckstNimX61LhFgkGZuitfDfWaBo12Detw+em28glEVUVQO/cfYZjAaTWLPuL7w6Kc
27dYrSucsOZ7rCilJEWZ3iHr0eOO/jZ5080cm86zbIvq2Oa2syEoNOzAeIXbbCri907P086Zsu59
MkjrJKEON3BBh4M/5npLo8g7YHIqfERpbhPSMgXiK3ec9MPQlIJ35IxWPrjSIwizlV8k8jT1J7/2
HIu+zHI409WURGkg6ohFhHzODa96ZKgqTlUb8Kh3TS5E2VhgWazr3tyFftKcZeJsS89udgFy4u1o
O/CuJ9fYpblD3XJqJTc+N7ENmG69T+I8cznxc+++dUHYpHQqbadAd+s5z91odMZ3QuV5VPuojrtx
NJe7ZqSVDyKMeazhem7dYJw+dBAHcqVasKsxLRLuqpCEl8Dets7arZfpqyL//e4R8BGMuR9lEsZr
vpGfpS7bbV5WITyvyugOsxIBjrKCIPHSEdvy26Kkyc4pqttmskAM092xGQd2o6giCb69zlo71UI7
fOlhV3dDMV2KIr9j7sUZKeQWs/qyFXHDE3SMzePCOQDChGkzZZWwj21D/KR20V31sAhWuoeuW0Oc
25gZl2VGj25DFcSD6+PPXykg4ac4po+mraz8QG5Av9emSvbc6uOND8dekSRW6LNKqygBvbhuRwkh
vSVI8K1NxRUKoH13lS3iwW94IMFVhiNsjr35NTW+xHeJIwRIgYwo/7K2cQWl3XykxYTi9HU8wGr+
ItE2UMNWVjIsn/yJziDnGENnKU79hHH6aZwpHyT8+30yDBS2ikl5lXeeuWBooXMRv/yYu2CTssIH
VZtUawOETk/h3zz9aDxEhjHkO2RGcL/xNfW7QSEaZKChOcRzPJHwoVRlLVSQHfUQtLdtw79NB0j9
ZvPJs4u52/I3GrdFGLZrnczWLvPdhla2ZqrQ0YR5W2dTcCCWv/AJxip19rX3tEAbWLWd632n1UXF
xOCX5hS74bhxqYS6dNfcfO4RsDPKpnwQI4kxjwY9aMTpqPeOpJqb02BeM/VZwG8ZYaxRXTWnrNh7
nXQ2vnStk6gUATvBJgzKto0bOwUz7c1ADXyDvw/Qdf08ZYPzCpsBJ74C2eNjBDeokxSyiASv3AWh
hjWZ7Oe30Y3vKEfgZRUynB6nMUzWQ44TOeoJwt/OTULBVA88Azw0nmxF4lITlG5Q0XkKXyE7rT7k
6gr+Vw080KnM86eEuoy3ntGTO5MaznO1JI+luyiqzHixifjlOwxG1xiBVaZnIx5Gkg7gsDaeBpQP
mrp9jONS9GusUdQxUx4F3ri7FkFQCJ20ZvuCYZStWBO036qa9ADi2o0DUiEjpkF6376y71ZVSL5B
D+IEMbB5HNJJVes4bir/Vk+p81Cl7YdP8wburAWu38pIxRJBweOxny0J8RYhYxrN5Sxfc9HkzwFm
aNo0Q2LqszatHVeh/rno9Ph9MJDr6GQnclImDUUciIR5l/MhRN/He+zhBcaQ2zHrgPejzDx1x8+F
qY+J3wANgLV3vm/xVOMcC2V26ZKQSYw8Ix74HESDAs+3gaMaHsaCIvAUWuuNm1KAWdowOKTLzcGf
qJjxhPEpg3p5Jrge095GoTiLUvrYNsIt5teCowLQM3TtaMn95c6YiWfQLB/v+iv2ubrOSfbC+wop
He815d/H2AJD3TD5sochzlDlsRnlXMtq7p/XQdZ0uxvXZrjOKuFeT7BkQ+/0CJZKZXnZfqt78Bl3
ZpErG4KAx2WsBf0CaLBGHo106ilq1ZFElu/GXInx3vzVmJrWmOJobppf+2pqpqdlNHKer0bPhbe/
10Kxvtho7Vs+iH6YnOOJl6QLgi2dQ2QLbXoCdLH676UD3crpjem8JNMuhmD9JIFOvfxJ/vkHBqBf
/YB/3j1cHUCQ9lzyxgJ1x/2bA6ghr5JL2xzPRMNdYJnA/U1r4DdSHgxci3HybpU2zdTW0S7creF0
W3p1NoGPdVCzM6vB/wzGLlzyNfn93wwqX9P/SH7AnJRzUld/jupffQr/1/d2tWXhyfNgmV3tUX9a
SpXm0FYixpDdNN3Zb5gV4z3upH/+CvyjvwT0n0MZJtK7//cXgEzlxKV3GM+ZRe6W/3iG3FZ+/duC
6r8kyX8pSQYBTrB/IklW37OPvyEknV+/5ndRMnB+8VmGoNqjI/7mw/tdkwyCX0SA3Q6nLc7fv+Tk
HfBaMLKx4Pkubx+am//NbANdEhgsIGsPX19IlP4/xZDkjfLXdyl8LGzF/GkhNkIvsK6N0n9+l2pL
pdmSTsYhtpdpbbeSZqGcZfa1Yxa/bbowh4LAm1lZa/YGUZGwdvbSrrxdvNihAQTXMLidbPjuI83d
LfFUvYciJ0GcUMqbrfiqcj3VMX3k1VK9ly6+AwEJ+a7LRu9KsSU0hWbISrzIS8ZagtjeLvOCR3Bw
8tJNergTw0dZd/hsVFq89IPo3uoiGwysapKFXSEa6rbB5E2rTFELsDLsxIqJCnCm4pbwaXKiRaj4
TGlkZ7/RlZBMZqsDxWvB6CsQK2hzl1QCML4Q+NYiXpg3OytwNhLDnh1hgcF8S3GbvWtDFlerKY3T
Gzv3h2BDqCojE1RJrLnU2dRfDZ6ltxoTwJlsp4i0LdUJFsD4xR2nemOj6cqIwP18YuBuH+juSD7w
tFj4g4H1suLfDroEcqRZWE9ZMJ4Xd6rvOeVretQCEAAsxEZ/J6esOAeULT+Q24A9RZRpVvWBrQWQ
8RYz8lARdPGceTdamX9vtiqkOcouvyYILiSzy+Dec03mMbgIj8D5FD53pTbYEWwIg40p6eniruL2
5P5ymEynYBrJRy3KbI/DItNiJRKXtUvmtv5NACy3ijpjli922ehH7RTow9qk3oSKIvMblT7xN5rZ
rgWIlO9UdFnejAt5JJwh3qpeZicap3i5WRJTv8pibqjfCcsOCHDXnhixh58hsl7OXNwbxVpRGHY3
OJXcNMhZNG/RrYuYyFh6K42pu7qkdfHRzjRZJWpqXVpBSh5pVj6qd2pBpIzGuG3JOLZ2ArkhrMw9
h3p2SZvCfrVwNj6Ei8vfhlOoezQb1Evdps7JtPJBUBZVp3vD7hOu/3Wztvqh3cP6HC5JWsrIg1f6
ZlRJdySvE/5AivK7rScQIFamPQYZYKs2vJDtgjeh+qQ2yAXa3j1tttdi1CCGKReCYvxympoGFuBo
rEQFHJ8QgxTyMJs2fo8FDUoqvfenXN0qc06PPuvdcGPWI9psXEH29OakvPYM1k+B3Yo7IrgwqoyW
/9+sE+e2HRxNoWtdNuecB0WGW7TkU/5tojiOlhGZ4Mzn5ZkYkZpjOGSC/6krk5be1RQO9BEjBoWT
kDeVQJfClqNwQe3LEYk1HhYRX2bcp/ORbHS+b0fv3gxoSG0cf4lsO0O3xYLzOLHQHjYKsN5bHHNp
pSltkGtfszOIisYihFUq91Fr+mNWc2ZS4wxrgbRPJs5OQ/VDjyC/c9rcXalaSYSkmdknJiYQ2Ch5
HZ+XS6xQeVd0BspnSsjt8sbTvcjv/UwtNN86zaLFo7Mo3AuS6tzKhXLQGvtRdy8OYcMHowhC4ted
PR7sbjgOCbXg5NKQtWA8r+UkCSrpcn7ATmvhC5MIV4GbID0q+TB25KXlmE+RU+TZNrZDucEhS1Wf
F67gP2fMd+kZpNxKl9RjiD67GfIjAzR/km20O+3H7SbMrDePYXXl5kQjaf7ULXtYrHrwxvD4RlOr
nJeUXdghZrcQmbwsW9zg6i4TzltIMd16XGxkhHEwbqmoj7mlc1rPWrxWZk/hXxLzS6bKQA2nfuE1
jHtxyjOrp6MkLKjwUOnzZKcVpR/1S+DTdFUGzZfLb2wzZdZF4C5axzj2Eru788Y8v+/b6huDL9em
+QSbSGxLUT8OGXXi5eT30ShmJLexGNZWJYcC9FsT7P3ULJAmKfelYKf1V0vq3bZoq8fOpjyLzsft
HAbDjppmtlAKxBJ5Cl+sfcgkx45O7owfr1neuFyoWzLRztYbcUryNjp5/LZJ5XeEIg1dXcAD1DvD
rYyrE4l3E8P3mexoTo1zjfstyNzmoZ3n8MIIzkUAiU4+FMY03nlh992vU3EsssQ8UWfdbgzFWB01
7gQWGVayUa7oU06efNEla9y2OKwn19osmSpJUSTzWU4LkvBgds8L3euR4aKiWWH24HZGy0eiQPwc
BnUuu4IkB4zmx0HG8YNr0R3IPoru0lrM5C6HUxgL4niWnX7IKf5IlWgfrMYf760pnE4ZOZSLl4XV
ox7rMupt76hYDUWT5q2TG+LVVSTGXIP/SvOJ1CydQGur8L/GaVCXAFtAtOiJbN28hFsCK/Knp+Ir
MmGj9ILRsKcoAsaNcs6cMcZN3mc+d9q0bC8uXrV161fFyfZrG6Ki1ezCSaVfjpR8thDfoQsW+sKb
UJLtFPI+d68XJCozqMpcFPtFce+DF1j3Vo5FbrHtewk9Ym3oublzR/PdHTrStqZRPJYheVm3963X
niv6VlFCa/LOSCl+Zi7wIvbF1RbWPMl1Ek47s+lYYQxeeHTVOO8pt50OXs8jcioW72AA7jJ/c87+
15z8L+Zki432P52TbzOgstynPv4cZvn9q/6YlMNfHNIqPmt4om5/6Y4Jr9v764wceOIPyzp+7z79
X//NCX+hqNl2fbyLEF+v8/Af8TjH/oU1h+0SuKIRI+RP/s+kWa5+tr/OyjibuGZZ3DUxeJrYm/4W
kLPTIix7h3IUdA5YO5r3G27Dyay42PXm1GyAetDkBwuxQcMCtmBvPPiBP6ZJ4hgvl6yiOXxWt4Tq
nBC+K87h12mRjvNCA5QNNFSZn0lgJc/lRBIjSzz3lQrK/hY1gHUL9JJ4m9VY49GsDP8WJdihBdwD
Z7cz8rTYU11bnTDG8DSeCCV3vf2JNB7PJ6FaJDxM/T0PGsoInu0i1v6NWtqFEVV6oy6xlNn6e75A
Wa4sNUUxBPlVmAPHnNW4xp7IGdQJO0p9W78h/404u0i9otLZGRY79BW/2Rb8bh+TGFJtZFsVjq5G
xtkzmcJ2xd6qWqKOrmXvgKSuvvvYpx7ZSrGH9GlPtKb8u2xDVojEmIGuthny1mBZOzIvTzNr23sP
DxwTRTjbt3AT4vK6xMxg+tm4ETpciZveND4mDHYrtJ1yPHSsXIBFhvaGAEw4MXWzdltSv3UhHBjq
Ygrp3g6hO23IjfvmQSM31jwLw/hlKQP/EVUyfur62QoOtPDY1+Va48oTpROALXweHt9QztKNQTor
ohHP5zVohlVLy/rRC2t56huf11KX6GIWZ6ngaTuPp173SQAYskk3Pqffpa0SmIW7OMFHWJhUSfTU
Z6yAtrMxHJdq7QegoyKHsohtMMcxKcTS+tYsNk/ThYjRUyh96axIEMAXcwwRyJeM6H/1nGCS9QV5
Rofijc3Yo8aqnaVzUCKHNLn21Zc5pgjzI1FLB5zd517guiwSS3xoVts43DzicTOJuNp4DMmHbFgu
QRqDd0TeZ+K69gplgAJYMbSUkXuoZp3uaYamVc/m2udSUy+XeIi6KWi4TvhPBW3SpWsdEt3dujME
8YUbAnXDZ6dd6INhFUogMz76RbUFa6meQYc8TDj9Vh1/zTYBKACIZ34zxUiCws/ibTzMj0LmCngK
acjFa/ObtjTEoYFdvqVfw6JhnAG1UDSUKiPFpsyO5ehoydoSf+DJkPNyEC0fTcuT1nM4W+8V3oSo
NRMqMFNqUWmOGyCf+31/dG07P6hs/OzqTh6BfiSn1vOhXy6l2OBE3dVGGCkHBpmzQPKkBXidlQbU
ktaAOkSgJEXOT3+4S/vNn0wIQzHFlRBIKCRwuiKIhBOM61DDBKvciSZFOjd3bb489hSoX1tczNVA
twAYCdJffPf5KSdA0q3YGzcHLHL6BwSeeR2kXAd9Pmz7lg63wgf2ViVLv4fRe6hG97G1Qb4HND2a
8S7sNPAea3nKPHLwQoVHIhYXEKuHCvrCOhCgLHNe/cRLo2BwnlXb7oJ5us0tYyLloKdt10jgsPHC
ziJ2XvAoZisKIniil/KHdASOWQqc17lM9SPVuLdBa5qgM+ADt73LIZgFt0zz3BXLaWKBFzK7BZbz
IDQdjyXqLeTsYeS91SgTbjYmCEuBqDCgneyDTn5BVsggu4rw6HFcHnXH8o8bfE71YZ/vcfCkaz4V
18BM+zDkCpcVPxR9IOcJKsqHvJ5mhY6RMYNcGacGDfmSWa13rJs+xfSdd9sGn/ib36bfhKEA0FnT
z7SnvZX4j8ZkhGkeOtwcuUYcHvWMcQCIX/hAugLG6uKFB3aFl9jrHtCq6XjluUJnvTH6kaLl4JVz
hc7VwY+HVWP3+RmczwBhuIC0xy9qK+pWn93ETS82rd6gKcRl6Yx+7eTlm0os9gKhvpuncltd6ctT
3jA9V+qiPCzLWKKw+Yh8m9sFA5lROx/cMc+FnfJ0aGOYvmZII0T/JKEabq1yiR8p274FO0dxtdnn
z76RP7tJCHrIGD7UEn7zEutgadfjfaybbSkpbU+tkfkLw7aX7/D4xLyKrcMlKml3ULC/KpeqXLdb
1F5QwdzEfsEbuKghDsLQOblwfs6paV808W6p0hevsBZsJdTfwCVacdJuPCMEL8dSDpIkd0LO0sYI
7gNl71C3yZbwqytXzZC0Ecdo8F7Aj/0mWZCwK/H5qBlOzE1guPXnYTO0kB0Cq9+6Q2uBgWE93g5g
RUDq1mlUzDJAUNHLIa37fd/kR7oTil0vBcxqcmPcIY0tDzOawuOQMozRCelAcrTz5Rj8vrBQGMF5
XoTzQDkIQAu/a2+lzmAGjUO9wYCefjbgfKPR0jdThoJTjfLZdOhNimsaLBcerHkYbqyufxxmdW4z
v/wapmofBvO3HLDXhqKJyJsog8Q+52enYbYPZscmGHN5ACzcdZfzRF/EsCJr26z1kponN3O5Oxl4
d5RO7Le41s3FFmaBVaEjf7MJ4FqA5bCr+8QYVLGqO6T7nuca9fPgaWpSn6ZpgrHUtMRaSRVHmWU1
e+ogsxX7zufUAKA9DCNAKK60sIfPo/CtF3Sw6k4kzTCtnVk6qH/zkusLZj4ArqqgkHmwn51JNJ/s
vw3a2MtKF1vXH21ostJkEUVKaR72PGeBnVP6CRbp3kxhxvfO2F+UW92PlWFEbWE8lHOq74ope1Xc
trd68uojWI/XQDnyCXXsaBlAnU1+vOuFs33neKXgki06/gSz27B56w72RPolr4d0R3UMidagKaIS
JEuUqeENtIbaVII9ZDKMxQumx3EVDir46Wk3WWu34SKS2vIDiXB+9EeDXKzGlVO4YNSD0n/xoXKC
+fJEZPlp/lQllcCKIxTrdUmNuD2xoKJqiv5TwnJIcnYBYifjQA759pKOFH+Zf2+64nMWhn8Jw2p4
5RK4EWRqzlDQ3PU88MgGIGVizco6J42WpnNWjejkCTM0XH3N2nhRVXJrWnLfFzHF2q7fsLsJ60tQ
Wi2kgSDVD4CQg/3ie+2rsYT7up+npwFy+NaEfEaDAV3fN/Avv7dF8MXpLLcg78O17mL9THUzrWZ2
CLKlm9cU1mSbuPF4QGShx2WOVEPqXp14VPVa5wr1J6ott70hO4Q9vVfzTemM4R6/PU7PtP2SSWlG
epKZed80g/nIAamgWCKhYqbpx1TCEEvU1qGCh4eXomu9hTN7SjxacyWz4ItAeJmjGsIC8FRnth9J
nZmflXS9TyS2dNUu7DCJusGpMyUDg+Y1t0IOSwxFjMflcPQxjwNboRTVtu5iLio2n9uq0zHeJ7ku
mTzwUWTgI6IyNssxPbGB9LdFOSSPIbJgZ94yaEVlNbygWLKhHr/Xseft2HAv67Jvpo1mL3uIq9pa
LZMbAuwWO35rRzdn6RdmA8Gvml7jydHvQ4+Xz1quq9SGVJ8rcaF3ccvzr6j3qVMhjMUNVe6BKfd2
D3op7fLhyB5vE3f2OU9z+zlzsGFJYpmYysqagHZaRoUfPs4LdsOhZSmeDs5OmJ+4sRiY8rje0GP9
bCYsS+V1VWo4NjitpllTmrwKhjw+dt5cbajc2y9kPaKyQztnSWFGtQGhPHOGdXBdVNcdfhAgKKCh
WtSVpUjfx7C/8RjwtyLgJS7D5nmqMbH6AheOm5WnEe7emirwEvmE0VD2BFZWid/wTJT1oa6dSziW
zs5L7C9Z6ee6md07wyNqV3JPsdjxbgHwO1HXwE4jN7CyG7ej5Hcatt1iWC9y7NSqlyX5jh7rnoXS
EE2z4YA5RSuwaxnlKWENZOK6vinKhbRdM21rxUyX1XH2vejQGSafpErGu3yS3moWv1bOB/Gzb8qb
NtXOuQOHSttQ9ZPhl6qOVG3MfMF0YyBaTM5wN7HA2C5kE547J78WhWs8Ug4uGmKJWItaLCQzYY7b
AhfUaiZssA2F2569IP4UCnUpLCZvl47FhFblG9tQYeKbpc/Ugw/2jjX5ucJucrYw+pR1O0aL6grC
yWI+W3l4pGWO3bOHROMPAyvS0B9vWFt9r7lvSNN4I5X4kTRw/0ylb7jmzrwYxZaqh0NMJG6zGMZO
pj9Bd5G+YHV8Y9KksG+L7r7N7FM1pRyPacteGcV42zRcbwers+mVQr+rr77kPD+xi+IBmoujKIJn
108JrGXLx+Trr1gnn3WNOhjU9oPub/06foZF1qMTVsm7YZBg0o48wIdaosT2b2jq/hY09boLw3pX
8HBcWUnQnOOYtYJRCZOkZ/OQj0xnhsrF1U6B6loAljkXcT0ynhn34P+GgOLJabla1vBxYX7kaBBG
k27nIFCHjnfwO0nTHyAFeY/E47xKbYoEViNuEXi/bvkm67ysN5gIyzOPLIeIUW1LBry68+mc6aqH
sb9SO+lGx0zuFbs8MxKslVYnUtqi++bNApGBu2/A2+s27fOocTYOQzocmKqLQ+in1c4JK4cNz5Kc
RqG9bVfpJxLirHnq8C4MdH5fZYb5082UPi1p5h0bO+j2lpyLIxTpeeuOTvfk0Bm9DjoL373Ib4sK
JThOxN2yJMATVZ3ckBm0I4wV7q0J33hDim7a2TWehHzgtgT6EU5y6BNlRcGPQcbshsp21smE+6Fs
WaiBSaI5U5NUqmxWDo4OIq/J7Q3t7fGdZ/Ye8aj5Myg1Arjlf/iJ5BVjqL2tNDy8Lp8Pbjfg1hiH
s1nWjBUqhXNThKwS8THCnrPXeQlqjpx+xRjULZS28MercIw0n53Emxj3uPVvHYvmuX6ijHua8m2K
3HhgbjwgheL1xSG/ve5UN5zmM796t9rIItvlKTrjbAQXnRvOjqswios95W8DDiQmaUdQAQT6EYMQ
t4XzrMJTpSqw9EXurK0Y8xIUtsgYuH7UptWefAxoKy+R2V4VzrX9E6dO0Stx6ou2P6ra/tku+nYO
CXZe7xbWgl2V031z9YiDI+DXWBNeypE6N3hyxwiinInxOuvxKATGaXTy+8wifV7U5W3i+S91AGuc
+bqNJtZVKzVN28oUu2RE75C9y13GTeetLjL+qECzasz6H0vdPHh1j8WIAEZ3hdAmNlUpbNJyy66i
0iBVMPbQo2OJXGOrSKQTp7Ir4n1aS6INReMytMzHkU9qpGMCKEL3nJGu2a0ZAD8HP//EtnUInPZ+
6mvM3GqGzNq2J47oF+qQaBPU04arFu9kEzRlP5D249MgzoupLWyHIzLKwkPX6e1D15iXOTcOQQ7o
cvCAGLUmZU4GlU6vrYPzezWOY0Apm/nE2Xmx5mTmJ6LGpfBGbl7BGCUd18HeEPRS4EtCEcCEnkFH
DICow1H8rLDRP+QJsWWm2R3LMhw9k708B6Zzj/mnX0+NaSHDi22vXB+aW5d7EYOysfakD2449vOn
EqJhYLZntVinIvA+iH4QLP3ozfJqRf2JVR5+VZDNm8pcaBksw3WbV5GJDX29tMNPmJ9FJAFRpWQ+
Nq1DzzMe3Kiw6CGUxNpX/pJjEKsoZIQ+wR6aU+s9r/P7LuWAZj3feVPUCIeaPD1YR4OZviHcRl4W
syONJO3c8S/xJG8of8VM2rCLVdO1gR2Yw9h6p6Y0T5BGIy/HQqinQuotKk5y5JGFGXMxaaHPzbnV
NwamzZ2jiAGwOnO6Q0Zu+j7gVKOPVpmdWzIat2lABfzi9U+G45VqW1KmM28h+44dttkUqY31NJ/C
sqWJG4BjaLbWquI1cllMdTAiZ3Gj6RMhWTP5RU+tS6hQLH7LrP7/1ut3P+or7039z+sf/MVwwTmX
9v/7r/+ofvtnzEFXTNxf/mHzK9jlQf/o5ssPpSVf+puN6Ppv/r/+n7+D5/6FEo9wfk2W/ceOldOP
qtdfxfxnIf73L/pDiCf4BnIeX/u1pd3CcvSHYyX8xfVxG4Gt4rBnmYXd6ncZ3g5/MR38d0II+G1I
4/+Oh7E9ZHjodXCgHLjg16/648f/3UXFK/cfuqrMq23qT7Yq6uOonbOuej61B2j0fxfh6TLqggUy
/mCC9WWDZvoPo5ks9PpSU5BxJzgO4hOhBb9B62AlzDkgL0M99PvOL4ed3Zrtjp2rENGfXsZ/5Pf6
ex8r3xo/HJkWYV2LS8TfvTSTQvQorMA7+AOG1TsaFMRdsHhsxomzucXK1PVjZjqGs8m6GNGWLb/R
DPiOISXE34OqMh8U2P222zSzX/qvCyi785y2I/jYVJlvZZr2NIDSsLZsOQaNYC1d0AZ3LMv5dGFV
741gPxbxsuaZVXF8m3J0igk7q190zzCakz38FgAmFNrL9hLESs5rx8fhD/+uCo9Bp82rLSbfTDRE
tQEJBU1CILDvF9PTIJsbSXK2pemHFL78P+yd2W7dyLZlv4gXbCPI1913arYky7ZeCEu22XfBYPv1
d1CZVeUm4cS5qJcC6sU4ByltarMJxlprzjGRCA1p81pg0X4APELd0hPlRleYty6JF+hfrV0fsgM4
4d/IM8CiE0bltHOQfxKFBmt32BFw/zyGkbEnG1Sd2ElY+65z2jdiW9VdUHjjRqTtGc3jqcbb8CTL
ZESnOE57WnAaIXXcn0ajNzaJnOms5GgrbhvXmS5lFO8MsD0ImDqrejDc4LPppASTJThZGGfkvHeR
o0reWt5wY6DFuM4dcF2M31O7HZJ+vERyfjS7KL9TU5dg4ApKlLyDIMmU7omLPwJReVDHxAZSJ84o
fcxEPJh+Vj8QHuJQIPrFvdfPEqOLo6zshkyJ1vmQRop2HZwYNl/N1p1Cm4I6H54mxBRwHZzyOIra
27NVKXc1g5FsbSnBiwC/6wIksA6EWtRb3kjsSGcTJweeyaM762ENnFRcOevNGfOX2qVAhk4RuJJT
YAn/FDPuiDZhaeafAH+0T5Ws0u/NYEmaa51RPzZtMt86pT1eAGTLr5GMxc4NdbNFk4Rlye71Op96
knSTSuMspHDczQ2mfnZBdfwl47YHPqHGteZOo+tAI9mUqBJRRdLtG9pum7tJgGSDVDR8IyXiavql
c6kdiCkF/RtztleRSmJuaUZJ4W7oGTmt58YVnzw+ZDE5kR/uA7pG0m19sSP66UU6Td/oY4Q3TRG7
G38c1cGtXURqOk3F59aeACmFiAyOdi9StakGB2b5rCWxXn1FDbiSXsvEwm4KSRRgQKW5MrGqbwgj
jOYVQxvjyRtbZCQuOZDHAHXROai9ygPTyL6yR8DMVI9WwiXKRHmmBOLsuRig1m5P1lbbU2ZPtkd4
mR+6b1DXB2TjVKJoauvyEpCEyumbm2xhQYbQJAL8SX6yPF0kSLqriIz1ft8TV4sxSwfDVZZm4rHT
q8Qx0+pDEA/zq+znkeyy1j0GggQ5gC1BsaktjF6shMPnPgYMRJNAYI4sIor2TZYo2PoRHpuJl7WS
L2Uog27jNYoNXoXnob9FxeUeRwv+OoW6L/FO9LQOLlMltb0Kpr4/VpGoPLoCOaOfFNfGnVdVQq36
JLLvEGgNV6F6ItLmMu7H1VS2+R1EIawfNJwI3qv6yiDSy2JCUatZ3AqWg3PBnjxZsZMsngl/bx6S
jlEqlbbt3EA+aS70WpExyUXRlCzaJklsfL6xOtJlzUX7JN5lUGpRRPUztT+JKDH75CH7wLamfCKF
xVpHU1dsinrAYvsusSIgN3tLIxACq+RdhGU4StwzesmNT7UTIdMaF8WW7SziLfku5IpqJdTOXfRd
anaa01RYw2cMX6j6Fh2YtSjCRqRhsyGYzkSLXsx8l44BD3XPcdCnOzn06tFzKkRmoSXiq+XZ9seq
L5IHSUPfOrSqje6R/Nb1CrA9fWcaiO1LBU2DKS1Jod5eLeq2cNG5xU3QMLizxv5GozBEdIldEYSp
4yOJyGAowyVbVHNe33I4XHv9d9Z3RGhGPOwaibOIPjuHiAJzvriszbt0Ys6lMnvcNotaj7VhPNKG
Dj/1i5avz7jpWOd5yDO0K3RBqkW9M+Nyw52EDJBQa3mx3sWBcrIXoWCLZhBxDvLBXjfdWftCvF82
OCzxuTCVAYDV4Uv2lty2sXhLHWQug+8yRGtG5xn1V31kvCHvAye2OGrxZjeLnBFig3M3GkSFhyz9
s5dfoskPUTgCHZMMtHEUjkAoCtKaTFrede2mt5OHHd2FgM0vzKN9Bw4Hcd6wCC2xydGqtTubCcWE
2krxD2BG4yVdhJrKdsaz6zWMPts6RsjpkXPQL+JOXPlyo4qKepl9ySv79+qNu9QD1fquDXXfdaLT
IhltcVfGyDgddXb8RXbqOYzT17RDpbuldp7cDXK0wNlNykhoDyNRexap1uW2WQSs7ruWdXrXtUag
r0Im0oveVb9rX/1YDkQi+osw7V0di/lCfcbUnz2zheNy4RZz0/7OgNPxMJniMRtDb5++a24dVyHP
K+HY3DDhRJWLMIb+J30CFKJx9TIt8l3dIeRF2cr1wmGIvtcgMeTF8ZqCz0T+ay9CYPNdEywXebDf
tNalZTnjKVrkw9G7kph9F6rinOzpiIhPO/tiBfJza1hi403W0m1Ng/qUooWUK546GnQOqtwYkUI4
lFuDUfMDTnR9S8j1dHWFlSAl7El5FK2FuFfltgE5rn2IgoGXNb6BG0zNZJVXPGKXxBaWt0GahCBp
cBOnXHmFi24QK+omTCekUOnYvPoBk1NcGEZwQpSENdVxPCz7RVoF28matUuTQs1UokJWiJs6cdGF
OdN4h7VLm8+YZUNXPu2h4M+ELQ6sI+lalWge1mxP1Ec7lZNx7R3a2PuOlz6IsmrG78I9AFm5ysWp
TxVvAkJLyuaADdwdN+MQxniCpMv+q8od/3EciXAnr5HRsJtO4uyTUM9ILlj8epXI0xsVT9lIlpmE
1l/647MCkPiACFW+NKFPJMR7MEuGBfvNtULj5INdKvdNqyj8oHuaZBhbM6+MRsYdDOTauoetFhcn
iE0BAFOJZ7803WSdmxHjdj8lV6asemPVOp0wNyOKWUefhT/Zlfhrk/1/u2C7Sd4UYJrv+ucS7b3O
+D/12/9DZZ1NcfVHNgpmKOAoxc/6qr9+6e+yLnD/C7g3OzrbIS4PWRSV1d+FHawFMChkSnrSRtf0
7jf4X4WdXP6LA3f8r1IQP90iu3IcYp48WGtUOvbye/+RDcHzQLP8WNVRL8L7B2Ru8RdYOBJ+sSEo
Em7LUfCqWDxDG4c5k457vXMK7ZNCX8bVEb0572ndxrO3zdgTM4WETvsVY7FdsQk3VD3TuCqCJNwb
HS/yp25q8rPPGBtxqijVS68S+dmDe8VmGI+sHlJ7ExiZ2jRmkhQnHJjZTmRBv9F9Wl7SujGqz2Vc
Vzc9rIl5DxCFntrcs5DBVYOQO6jgc0/wrX/wTbpYSjeTQBM0dv49uz65QVsdX5D1a3frvMcQgAT1
ky/9kk7QvQcVVKrKYI8BWmIVITdIRzsjL0x33ZlZgsAK7ZDvDLd5DLdG7vyGaLhb5JR8XSSvilS4
ciIh+6BbgRFrS8/fNIpTCb0YH21jh3Q6N1kni/DWh9hEFRrC9CXJLpmKbmD6jdN12HR9D5zUikPL
fBsGkFvzNosTb0CvVLYedNMyrRgdFh1LIl7nrmTdJNWBRtmoAxf/fuyzS7c2XlpTBWUCpXS9VnTh
YpnR6wcbnn6dQyAiXrbWRTR5RK1UCXxCKoNob/MWwhxVaONoMmi7x7qOdZNZGj0rF2XIwqSJDaPf
RwxcH7HHU4zQhGMLYpXDlfLW24lgAa3WabbFKJsTEjvFWBfbZtf7RXbhTersq9YtmCHpbk/gYIP9
vqwEOeV5d/R7Sr6O6VdRlBXC6ji682woGaQ3U3q6UbZxtbcYR6PqgBAivKpiKD6GpYGEOgtpCc9G
X9/lqfhANza6wvRs7+m7ymteZ/3nuMDoGgWkH6s6Hq/cD9VuAjr7DJ42vM/tavqIpdmw10OH+COU
vNLpgMpbGgfhc0y202GMhcEWbqFDtMoI6MQr5xICBUTxZyTzxsIlMz3Xy+gIloL4ANehfGwnFB4I
zeNoXHsprew1TmQ5rqtpno+lIkZgFTAFYxJc6uMw0ssb8ix6dtgTnwMK1npl1d7wREsO1JoPKTTd
dJnKv1uDKwDGSzwpK7xx5ZbW5LyaaCTdU75DBBg8GPTQ19LOJQKemcLFwsMakTWICXkVKrw8XRTZ
Z6I3qgNtpm6lU1QKqy5vIfrmonxWNCT3PW32V/bvH62GcCed+/6JK11sp5oNwtTWRJ1N+XgNRRuf
GGUoMpad+VPnzAUTs2G039JKmWeqTEqXpnHkachHspLT+lsfNOHB8qibQf3OXEGZPgaZ330yRZp/
nLI5+egMeHTWXuNnoHfKgDkDT5gwtNqb0rLB3Qx6l9TiPFQ0gGEX5vuUqfNdGZTeaRgZSKxK8tFq
plCBQYZPkrE1neH5eMJM7sswHWlY1KNaEzzicBczO4kJlsPEqfF6oyiZ0LR3xOlAjljOi2aXlC96
FpM2fjucKjMAITd59rMLUeJOG+oDnZPHtDbk19GrKMPNoDezlTcgh13b9Zw+SZW6bLSn8GJqnB00
VEJ4FtExcFt5M9HP4dHo2kcSAXJ8T2b1JjqT6cYwV/dOGMyvzZIRt7IMRD9BMdTnKI3cD1GMLEc0
DL2wjzR02+cgunFtq/us6YmXFSGOYVYwcMwsa16nowJfWEdfWidOvuVIYdZt31zsDomhJ4ZxE/ed
88kGVHpwDGnTOR6G6WLjEdi4tPAZ3WobJU4GOf3Wakaqx8piHxqYfnXF37oIV7QVgEQYrdu+Tcpw
hfDUZEZXsKc72LEeH6rBbX3ca4Pz2IMVes2GwqBySTpCO+HfBFuaSdODa4T+pepL7wuN8upM+Khi
1Kst1rnOdAACo/VlfuDT9rEH17yhjWo9TZbR3kqs/BMFnzNsLMdboJ1JfARu2QNGniz/YhBQc9sm
LcGqg1ettTm+IakoH4B3TscI2PKaD43WURq2Rw/G1l437ngxtI0Gw6/9N0Kfve+V4X4litC+WLJv
NcnhxbQ0vbZEw+ISLozsZhhj/yZwsuwSm0izVun8Fpt2s9jPq5U7jh8qUz3SlzfXvqXg3YRQQZNO
xLvEsry9mczBtbHgghjCBhvDBrg9RAaKk6yPGNgk4UaVyvqYNJ67TyEW7Xje39K59B8aux3WMS2U
p0harCDQOU9DmhVbpUIvv/EqrNteW/Y3VWlGB7qziPdEgfLQJSbtyp1bkCkbDPdkj6qvFEeMamyM
aGx7XP85oqw48RdOG5vWCaiemq11nnnFPYgj1B9gT49WSbar2ZqwHFszuRgYRDAZlNVed0CKGTbp
z7YiEBWTdrnqZfaiUVunDZqfmdfjBaVhBPaKHf+96zfFqmwr/D9FTD67M7bfLQd3UWdN3WNqCm/b
u0RtVJGf7VwfURuQp/AxoeVxK0yp90PgNPwVibrro9SxtlBoF6GsXaDNU7FxHLozAtJ47ZXISU03
f8HGDM9l8LOvKI+tLWoyrqvvv8R+/k1lSXt0DF73psxgAXv8r5Dgh9XkeeLQJ9o8mimYtj5h3GTr
xLrQNk7fghTKgM5jY6/xvazcNsyvKTDtk93iSap12qB4jpADNdCrHLdaAhDZeRlD5e1BW/VnbHNM
9fKR5EuU1cbGXJwzY131W0e25Zv2hgTRav6UdBGynSkWB3xfqPG8G2Cw9aF0C4r/OrB3leW9NWZ9
7QhwXJUEK6/ddN6zRBv0KYxPVoLUII5FQrzIzA4jp9OZmRWOaXWVi16qhXw5FN3KLLJhY8YlbhWY
kmk1R7SPAe00gWmvRFJCO4ljEF15tAvd/MYpDOMhaMdhn4uO+JYpjTazU+DsKu+Z78Q76jaQBShX
1iKfrkHfLc2xLN+3GmGBnkF1uhHUHY8O8r7sHSpYQzp3BsNl6AbombVrJwdmcBXddOtbEwpj64F5
WiUASVZ2Qp+mD2mXMBHvroNtBW9JMTVbaXD7ISw5iLEvr8JAgxBohnm911mATeruONIDOKRlZACH
m/1ToadrnngvJGN+eB9Y/P9a6t9GZAvq/YfZzm+pTjdfkvLbT/Oxv37j70JKkONECANzb9sT/k+F
lIRA6ZvS5YoDc/4pF1f+F/tu3l1Q9f/ON//Bp0JSi/TIZLACAnIh0/8yEPvTgOwXIoCLsD9wTD4H
ziQDMrHMz37ADkwBLnRYYPMBScEUcEveAPb54Wz806Tr52KNQ/iWoPazyIphnvc+ovvhEOCWcwIU
gvnQhw6DYZ/cV7hbglP6v8eS/4OjLF/0h6OoMBhHL+YosnxpjZdq/Ka9fxvZ/csX+QUfgfnApW/B
IbqZteZKVkMzv/75Wywf8dO4EirJwmUIXATsPkk9P38LQQcbxASSnIHXyqo3gPUldXUtimYPB7T4
z5gTC3mAo70bnqjXhfvLxZejN2p6nAoNb+TRe+WfpJDjNo/qfPPnL/bbfcahLJuq3fdgrru/DjvN
VkBTGi2+WOxHT2MKuy1Ke+vG1Ng7/3yo3xgF74eS8BMWP5cMfjmHoHTMCcqHOpSony5ZrhckTwq5
c5zHVRONxb7qo+k/vTc46NKKcLCXUfP9elAvCS3bwB59mDLOIoAZPIvkqa5Cg3/+/P2Yjf92j9jQ
F7DkuMirxC/Nj8wx6rmuDXVA1IyKKA9JCDQaPz1mNlNBbJTNPXvIESDWHN90+Tj+y/GXu+LXe9TG
eefCxvUJ7f7lrpkit47NLGoPfkEoBxYCdyWa4cOfv+TyJX49iGMvTjxzWSKl/fODMFpIi3Vgq4PW
jbWXQ4wxKpJOeJvb5nyYJxtoZBeM20oxD/zzof/p/nFsgdiYMJPAWhb/H1cS8pxGK7IddaCXP21r
B64BE3lER9IwcW47ETbrKdbh9s+HpYv2+9PPxMzly9q8FHAU/nJml2TUNEJqe/CMUr1VUqDPTUyy
OeTAquOFIC5gBYQnM0djTGODfNPW4RKko7Wfxn7YJ7VSz3Y8OxZgpDbdKC2vtgcvj5JpBJNHXvWu
CpW5cTRaVzKj2YeaNqxuWXQpxjmk0DKV6bkVvVz7Vf2CjRs4gN8Ct7D6Q4cOlsFnbK4MxsSbzJDx
DZBVxHFNV7GpogYSqkuPsZnLM9Jd8dkoZIn+yJviG7MxxJlZKXNaDDLb2PDwkkdFx4066nzDQL27
dAFiWhjtpH/V7KVT2bwJu5CnMCnAZxlNv2nlXOxdu724ma0/jOXkXoeQLZfRyXxbAQo+ugUFbd5Z
7g6SJN11pFg3vklpAUpvXLEI9Q+O1HxI5usLIilKaLb0ZAZNrXUTwjU5VAin1lHVxdcw7Ye3QOPc
72cHxJoIR26DHt0B7ZRvA3Gin4g8V+kGHuT8QQzCczDSW9+UGo2cAsbV3w0Ks3g9prl+hugLunUU
2r32jM2BpnGCPRdCGRU6djW9sDwmTzB0DPUlF6FD9NYC7wu9Utb0MvC/Q3eQzDdS45a6+ptumXkM
k168mOMHd7a/BWXgfR5tD/RjZySfdDbCjZsaTomKeZDKwf0260oFq3hoZlJhWTHSvOYieOGsnzuT
zytG/o4UGdWpCLz2OVlufXTa8lwg8bipiyHcOp5CekH1cx1ywHRR6fSbQGFjZWZr7hmWz/QUCGMn
bnkKt/5IBNqajkF08ibXPiAP4QD2LNZNk1L/FH5GEHraP5In0j3qOuSHoZFxY2C1vxJozqA9D7MT
UVC43I2q2/ZQJ+78gNOJLdYKN4Wq7Y3NtulWD4Bnj6ktCsR0ILxQlSUWmkMVWg8M26PrFCXmY4qT
ZKRpkXh3qADTfRyRrma5KnxFoInOZrSN8NYeAtSKWSxlt0xSO0C3oXtH1oO9QTEo1igw3dNUq+bS
GNJ6sIq5P9JeFPeh4Rh7Bn/OvbSK6DK4HtizBvU5k1nGW15vHrq4ETZORCIVO0wM45oObviqASag
EhkqvXLoSu+rKfa/u2nmfzeiUK9bYAJnJa3gNQ5Maxt1dFIJlPNNKAMaq0IVLOcjNDNGpvOIQbbl
TLb9mG/jqDYPVmtNhwJF6yWPIvfJpKe1DScfooFjeNbel6Xao/8dPvl22DPo9+KrWTQmRaOdi6Uk
hrYG2dTBGGn5b1bW6lND8XLbOePwRUGZRp4bBXdIAZynPNAwi5FLGNuxsbzzYEfTPUXxvGMk7t+n
iSq/TLE3XNVEbM+IffJ2bBtxQTU/3bRN4J2zmtQaq/EIGpq0eKzpnFNmTTOUEMPv155JwBZa0GXx
yu1QX9VsynIFUSQjNF0Ib0MzHC1yOJjk6wpdrOK8ih9pEaZf6eq3B6tnEYLl3O65NbzNCPJoV091
uycRFyJKWyfkpbPn2nam25zzQTARj6smfprtgmkk2FA+0wtjHIuBRIohy/nEXxs92cQPnOgrN2fU
VtM690K8Y6koQch5RRocfYqFHRNJsZFuFBw9EOw7LUbMX+aibIqzhHaCAOG39nF8Q+kw9RaAhjoa
ysQLhGp+2jHgM7Yy7EIkNsAA1z1ZCwiFwF5iovTH+5JNwOvQaM0y1mfXvHJ9WJzQyzWrwEuSBDPE
UCkPMBT6b9Is5x2CeO9sl1a5H6qETrVvpPWXloT4VwQwNHZzJiXf26DLnyeK5DukfZimlh+3S+Fh
nUHXOY0ROuPZk8PdMKfjXetP+D39jAAf7uF37hANOgvv8ur9kAloTLYOrYtaf7KDxdSlzdcM8fNH
QPVIUL2YH3UVwabv0UIl8a1rGzvjg1uO4efUjavnPimK/XuAEsa2cJvMlsm72izWA/nxa3PsspOo
ui/oDfXRl4LA1aiDRumHGZHYw5KYPKn+NtC4SP/KyVEYmW5EhkLCMhb/z2RV4wGzLvN9v7bQFmNU
AsDo98UpbS1yMiCnahpG6TzjLl/8qSYBiAdol+LRQg30Sbf9fE3clktXL+E1Xu0T4DEswTzYdTgs
IefhaZx9fLu0vMGeEmlTJ2IYVsbIpfcdwi4qSUZMlzvx18DipzNGCI+FEt45tKpgHwmgjyibkAvA
7ff3FKLY1Wojex5wZe1LgrUel2CSrQdNZ+0jEdhHUP3XhHrNh5a+/cpIJWk5Ak6gYxF9UQUtM91Q
jPeOmtwvVtHk27LmBqexlp2weidrabp6W7hm+S3lHX60W7N9wqk6P3MjRfciNqI7nXbBY5kWhJS5
LRZSVZd7Xznik6YWxasB2xfkbclWvC3KYG+HxnhP/geuGcPsv/VlaHwAExAiwSLDcuMb4u/rlJER
+X0y+WNH1xl2pltbt16SG09RmLHIgAQ9AQTvtoY3Jp/LrvWvQdWPOwPx3kenm9yPvTLcj6lXT7e8
qcQO8bGxmcAGb4zajQ8yxGk5R4Z6qID4bm1FjjkwsPH2/axrj+iqqvX9O1LCdyYdQ158bXqm/2th
siCCpOxQAlXciDs67BAtG/zJZQDluJi0s60hM61H2ng8xDKYTp095Xehb0VHCyUJQ68lDGz2rfka
GC7+V1oN5xkSyS1dtHBb5DICI4FsCPt9md2ZTVocxTSKT0GI+kuHpuvBp+FliMiAyz83803WVvON
hQgGGVfgQHudspgl0LIeYiN5ZSA03rIoTEcbuvydVPPMPMyDesLoZHo2EUN44KGHFAPcRNfPyoJL
HmAD6DKZ3sGjQULh2Bk++cI7wyBAcIm9EVdZPd41suXVjStF72VTMbkZ50JmG5uEBvyTVhxseTf1
R7qdSBpCt61vIA+U1pokpeqpq8Zy17HgsAcqJapO19Z3DbKQteoEY9U4nxlHWCSsh++qfYt5I8Rk
46l9z2xE3sSO2cUqmtNVJcWt5dGESglHoE0wrPo9hFe0G0RMWWX+bHbcTkU9s60OEuvVjNzpxi3Q
nbrDQHYQqa3dakwqB6dgi72v5cFMUGKd5nGYryqT8iQGd9r6elJQnYDXokTp6wZFnEBqofuKla5s
nflq4j4HYOrkFQUp/+eJIU6Emw+N5KXTRroO+dF72sBAvqqZ+VMLZ2ufmM58ZNgp9gPgyeUb3cl4
JMA6ICqRyCxym7qkeLTHjD6zn5bbuX5v5VbQLhwPUsFUTvjk7LJ5dHoHCGiWGOco7O87pMPYk4Eb
D6nxzW+03Flu+cnpcIvmKUMgvka2yc2KldOLWrXzfTVsmdfY+zBMenABoT4DclLdOm9MuWWHGJ/q
Geq5jqd7u06qddaK4k2Wxls7e3ej3To7exyKZd/WHJEh2RgVkqehiuF9+Lh8Wa3wP5CcRZpxuYlC
yjtmbp+M0lEINR3cDUnbhBt/YFKYOUpvTJ9xcOnVAPgkpggMkNibV50Ns9ivy5uxht5ZxhFheBFw
iiQHnF45fbcHzRq/RF3vEWBu5UwmO6i28Omrxxr2CZ7TyGwQbNrxOU5FfV+WWf3JiDBF81bHVW/U
3VvdS/EoLYXoJscOfOz6aYY4HsCmgGJwMGJUzRtIpy5DAjXfp4DuH2sQwdu+6CTBEqMqNmIWYjtC
CFmHcCn2Oey6HRZ0unFmnpyQOE846HTzGqi5OANddQ7okb1AbYYqgh2w87FeZOe2fGV7b30mx9S/
sYJOm2tlk9DQNymORbvqhvtwZuyhpzjYp0bc7rTf8SgWBeDdDH0figTFVdwg83p1Yxc/YB/P052L
wf9aerradcmkPgvF/gpBcmzfTn6gP6OMlidAt+XHcJJmyKi8c57N5Q0prAL7SuzHh7Esu3Oc+O5N
XLT6IyJe7zDqZjjlXtSfQZ5nb9pNCSaMLS4uepLwvpd18bVopQmvxnK/EPhRoeBDgH2yMtu9QPqh
u2JQYEPKKjFNJa3bbSdDux+cUhbbLPSsbIG5xbeVMX3Leul/sitZYoee/XUU5fMSCZOu056BGHu8
mVchiYTdqgPitRGTYiVL8/SQ1n2+qoVkSJTztj1NVBWbCmYGziN/E7X1vGmT4snIE3B4KCUiVvkV
PVsfNvBEUWzVH5WTOptM5HQvsNoQRg80BXxGIIonZljVRc+5fWTmxVaKQLMpjJiiZbXfAUZuB6M4
UC4J49ukYf+ipfeOVif8Z23gvKLu9PdUMeBfjCT8kDuGvvBSzJlWqPTLaDnVh7TJmk91V49yXxve
ZK2SsEkyxMwLUQsKHiMQQ5dXZEBDiQsxGV9QysDv7NQA1sDuvjFjGlYdnd3LGPjl2WFn+1bWkLOm
ULYbYWS3c4XjDyGXke91Jpv1wKW6EInIOBplnL6lERjdMtbGoebCXtmSmt3cwAgJ161KbRAx8qsu
TWbXvNOAGCLxwzqpYdNXbXefmTQZ3CiPn0fVOry4GHZZZRFe29qpXmmDvbhpO7y40/g4dySi7aRA
nGeUg7VPm5mVvTYcuAVd/ugvg/h1HDfqwTNzLL2oAciZ6UyMET1Me+54BKaVu2eyJC92BhRxlalO
HmMYYgd4etErZg0isFkJ0WEaqPqjUT5R6vA+iYLiZcFab+oo+OiO7nA2a6DTfIqNPbnRj27ifpW5
z3yPptZrBOZm12eIhDlvU3oTBPOwJ92FM1b5/h5Xw6jor3BSnFB+lH3sPiU92TJpl/DAKjyGUFP6
NSO0YOcZ3l47sX1PDfLMgpzdjfUsTk0DNUUPWoBUKsMvVZDN61wNPm1CgCe4H5HUwyHB0q/Y3WJE
adZgC8qHEik+O1xwCUWhj9qfimuYGOJeNmaEtULYt4SRON+tiGyDKh3qreoSyNPkatyBoYkvuZd5
j26dBkSRTHNodJ9TholhnLX7guV229dg8Gc9mtcw7MQhH+puXems2k+IYx81K+7i4K23AaKEvcq7
p6iDhjdKU5ycqJr2elAvRCzLQwocZz2wETyxkBoH4Nr9ha0c2g23iG7bqMnY/1bl9w4iD9ZpXb86
TUqcs6+7hhKAnPPXykxT82zVXXj2h0WzYiQDN1trP3UQa3ACo4cKbpNcQVWvwKZAh1WkjeyakjYy
03cV3JaTyp/KIihXhTcF+zhpF1drUDwJu4XiReaUObNVUY2jTuY8vEmPqgHnb8FI2qNIavqJCLws
PRZJwNi3tQ4GNoMTz7/3SRbiuYjYG7thFR3YFeYb2h1vLXm5GwwzS9wU79dpGA7ALL5ISpAxnS8I
MjAR54LOGW0io/OtNzfIh7NbQbwSDfF1OH3UXRRahx4+2PdYON69Zxr2tR2D783oGs8Rj94H25bM
vr22IvcpUGO4aX3ISgYRLnszGDt8HSRlCR1h14dZ9S+Q6t+7oIgXXVxRy3AKlS1Cxh/7r04biEom
9F9lQ7AjAV4fBKl5h0hQ3QaSRv6f+67/NJlwGLaYLkJG33pPt/5hcBSpxrQMf+JwrfaeGrvZUwGg
Zw+l+S/jlnfi229N7cCzXbbhPtavXzvL8/x3U1vM3fDWvjfpp7D7Omqa9AawXajCwtwLfza/xOFS
UZLR9D/o3sOCFlgtHdslpfrns5tJR89DZKqDIyP36mE5uKkj+qT/+UnlEi49bOSg9nun+4eT6pI6
2bkFM5j3cQgsCPqRwTSuLHRV/3L9/mkc4cJ7WrB+DiPG5fr+cKhs7EqsYgOTJYLpUHxULySLv/z5
6/zbMX4ZKSWetvH/c49YtoZkjZ3VL65/PsQ/3hzcf3isuBU9oN0/f48ACcagbK0ONS+wm6gz7ZNd
lXTL+yH5hKqRW7Lsccsreq3IxM2jH4Ks/vMf8fuj55gA8h2f5w9x7a8DCNerQcpWJGxHFjBOjXlr
PVhZc8kNBCDIjMrNn4/3+3nleODM4d17tiV/ffZAopk+Or3mUJREA7hiuuK/kv+ynvz+gDvM0PGf
0t+BC7mQJ3+8QYLI0nBa8wbqIkTVtiZoqqp7EmloaP756/zDkfgS5AvgJfAWEfQvR2qTZJ4mvzqw
tKEaMtozxO+nWqXPfz7OP1wmS7o4W7lWrFzvlPYfbnlRF5kTKFkd5gSaXP7F8CGSZOU6IZD6z0f6
3aTq44j94VC/LBcUqiIsMC8cuj6ge1e6ETpjCHcL3Zksp76cP0weg2ncwSHaaFf7G1M14WfBvnWr
Z/u/uTuT5ciRs8u+SlvvIQPgGBe9iTmCQTLJ5JDkBsYciBlwzA48/X9AlWSZwWhSpV33QjKrkjIR
ABzu33TPbYHEuFQJG3LpHGMSSILWlB5sL5EIPQHJAx6YLoOMYBDTNIY7Q0rGBFftOjPBjR/cHv/h
oewoY42dky3JtdGEOfH0yY1aJyPl9MJpZVLcR5KMSax92vXLZhChX3Q80yZqH/28YHaw925xwohf
8mkmxmVYdNQZ5t6KMWwX8jiNK2fvOPk6hpS0NObhMLO7zzETW7ZQ8Ioyv5UD46cB2WVeptW6SQeK
DjFYk6BOBBLGoUQ80pvugfncbqms0trR4BpWbeuZoBDTZEUe7x5Txop5weg8FPv1yg+htbihWoH+
hsHoheY83Tg1+ncX3csnh9aZtWb6NCOZYLEB/rtzt/S3tRbkPUDMeuS5JFpz7NEK7Hnrahdim4LZ
YiCG3cdL7n3nVwjTtSy4rib6ydPOb1XivosVGQaYXouwMC7zdQWV/OgI2W4DD4u5iPrLHQLR8OLj
K5/5fGlrI2wwmcV5P3xRh2OvRZ1T7Mh1x289eOjniqLvnW04ya+PL3XmJunyshuR8PCf0x46zRGC
zrErdnlfUxpFnA4lQ3aQ15Oi3jtNioFxQ5dtXAwmlbuPL37mPomrBGYjNiMS7zTxeH6BIGEie9fg
Ige9Ak9mFdLvTcC5/t0rWfMmZbhMGLk+E4Z/Lh4SwSbElzrbmZ73OI7FsDI91fEVCfG3lynhBgNT
DEYxhqE7J6ennC0Hw74DNWV0EGgdqi8iuR4G22FQ0Pn5928LAN6sfTFoJZ0eW2GcycLK4FrRWxc7
TY5FSSOBwm4Dl7f55Bm+/wAtHf0NBxcKGi55cnwxO2tETpdzZ5p1FwntsZq8n4kSd+HgfBKDzN/y
n/Epl2I+x+HW2PPtk0vljFvjiUY3VsiMuc0ChZkN7z6DtTMVPWQP5rc/fpLnr+gTiuIkzkd3erxY
0vUgIqa7yugPqS9fytG4E7M1JI5DqEU68/jxBd+vfUsn8BZvUQdXPFmRdkPe0cKX3Gldd8CBDWFB
eh07+ieXeR/YzJdhRkYAG+Jhzv/7b7tm7+kqjvmroTmZGkafaCPBOmrrj2/m/S7CVUAsQXkwdZyi
TxY9QEJVJIkBy1mQ1pLuLbOke3UL5yapWrpq2KTgBfLJLmm+Pym5KhsHeGY0P87ppxbkU+sz/5Lu
fBs96ZDBxFsWMp0ulU+rjunuZtHAKzIXoETh1UMfgOiLLn7bqircZzSTNgNh0TTa1a3fMaQcSklw
MIcFuKnZF8zGOPe+OTi7EHrOJ7/+7Ivx/Dn5wcgGXfSfL4a+ZIRAik+XElWxTkY/OWiKYsfHL+bs
KmOuktk6H1Lr6TebWxXHSFhmu6J1EWGW/U5PjTvPbT+LWs58sHiOE9uyD4GPPVkAtpuJQlYFG5GS
gm52EAGE0NXm47s5twM5hAAeQF2Hqa93z0w3FYidlAmCBmyHyzGl7K5dN032vU8Qdn58uXMPj1ua
DaqA00Bx//MVeW3sIBznEx3T4Of87OrYucnr4PHjy5z7eGb2istILonB6TJWTQpYqeTjYVza+5KO
BnX2wP5JxbXc1KHt/RgymeDl7TSfHFXn9jwmYi3iakYG3yU91E/0SFh9ukPcdN0W2suUIOtLHmQy
fWW7/uRq5xY8aY/JYiezfDctmHGPriObdCdDLF9zx4Z/Yyba6uOHaZxbIzxE1+Q4Eow5n+yrfmcq
SKdVuvO6QX+IkZNsNCaOF0Ei+owCvTvcw2ssl13Z9tfVWKQg8FyxjTwGu6ZROnSXEgzZK+xes8Gj
Kdt1yWfZrXH2ybtk2HyZAoHqyedS46RpD3nOaaMsaoVt9WK0sw+ogN8Xu95jBxl56cqISmYBITQd
+mYP9fc5oq07webHdQWLXKpIPj6jKIz8iPv4+EGeeY40tghBXRd/AuLDPxd/5vIbYkW4DQD/p5yM
dqNLJqqQY/jl+PLxtc48DuNt0NCeJ1aJuv+8lmmAkbG8ltA+MH7qFBwArusvzQhjz8Usac3McPtJ
hHHmozMMyvZENJxY7+ab+zobVR2W3F5if4viUFuatO4pZtbTQphjdV/Vw6wgKfrd379Xw2Cck4oU
AeLpTmlpPjNHXlPuyNWuKmfA76rObhhLDhcRasYRO55PQptzb5KQjTIAnCefrezk6Tq0HBqrKnea
DnYa3AetSewHbobKz3c5atFPrndm2+QGiaHQQzO4+vaF/hZy5AFU3xjb753qQ0a4rRr5S1VWK8FY
3H9zKR8RtofvBkN3JweCdK24zQtSNMMviy9wXWAxuq1zEXeG8cn2dW6NCj6oWYcwjzyfrNGeuZhi
ojKwa/LurovKX7aNN2TD+4vD6gbvgvbvnz5sELpp2tDCKK6cvDZDUXA3m6nYTdiZL3R3uK2xJpbU
AT650JmNmdliHScAKs/IOOb3+dv7ktPAGEhACpiF9mMIQRNl9N3Hi94W/B0nAf0f1zjdlbUE6qTF
NZjqNRZAIuShsRv71uycAH03Usk41LH1HGqovU4S3pdDDUrDpmHTQYmg+Ndp6xoVFg7GijEYgAFr
MKnZLhZtfZgsK7oxfXTDxdgHT4HUi23eMKFBdgvovg+DPWpVprV1pb6AemRgD3CGcTv5ORMXhYG6
scwbpLJ9FWBYx/zYNWwIosMyjhcF6KHrSLnR1qibcZ9B/LzqRZRf9tDAd17q38Vl2ix5wsixqRVh
+Me00I4JJXjrwyTXQRfZTAymw7G0gEkPMebYHz/ec2uTUxwhLxIK+hQna9OpmqodHdYms4IvlWpf
PNCgltDgEJTrAG3cf/HZEXMT7FG+ZzL+5HpwOYtKhGOxgw4015yuBjPdD23xSfD6Xl9gzVwFQeGP
GoHjn1zGUmkEIMAvdkyS3kgZ1wwOechP7+lEXdKVXna2+RzWxScpkzh/Xaq0PFGS69OAzJd5BW3J
piaC9PxbpHRUQrWl3TDtrmdrGufkOJWdB+s27atVBv+ODlfBRl7hfW4z6msng7YXeqdtDHx3lgHT
YSw4uUX4QRvLT77bBsyjQTEPlLoThOTWwDwSMNcqNIKvZmqhqp3sCvxqYkHqn2S4Tvg9qzaTvxj8
Nr4kb7wcNVQbFF38+3yyl1HTJsj04NlXwv7sVZzb06FpGMAuKDMIY35kv+0Rsd7YeZH2xU5vX6AM
z5xnfZsa8IQ/Xsnn9qLfrnMaGPWyz7PSB+bv2TOchXrDEnrg+uOLnDsQHeGSrWK9BEXu5NTQK1OW
FezqHU0nbzna2JbooKxSIF9RM34iOjt7sdmglMAXddtpEuHUbEZFxreiRQ68wnLa9pbcMAbGQGUb
f/L4zm0EDmV/Tgske++C32wchZMwSgGauL4xGxdrsWB8hHz7q40Rb0XOJ0/SOLcuXDprJLBoqYBf
/LkupkZmPF/itEQh948n0zh4Uz3sTWrxq1JoEWS7atbf+uI21oNoN4ZMNkPSwFZlliH7+Gbcu+gC
mNEOQkjUH7/psz+PDZEyEvVb/3RjxJ+z0dKIMGeo5C/hhw+R2X/NBM3k/+I6UF2Zdke99i44aPCd
jiRDOTsyUUk1p30pRm1YlV39yUF6LmylOIV6TZ//yz35DsXgM8bNABbwlJ0RNcy5DcVNXdqwp4zr
rKzu8sz/pFBxbgH/dsnTgDWZ8OgobT2fxe9byHC/fNTTYeAc6vIzV2hxbv2SkdIkI3wkFz7Ji9qZ
nzYpN2ebMcfnNpKvA6YMyz4zvCXl23CpSS2GO6oX67iaB441Yx7Pqpn8weTi0aKo8hhUXrPrTMaW
kbYgNoja+ms4+YDEC1xU8bH0NsodvAfPZtdEat8wNaE1CrrmXNoszVd9MJlpRx6vpA6ouLtCkyjX
AMV+xV4/LPJRxGs8NM2vkslLDnvT/mQ1nXsK/qzUpcTBuj1twGaZbBok4kR+ctpP7WQsWt16BB5w
Qc30sY0h33+8fM+94lmegWLQpdh6+thlYoRjRTC0iytfYzimqzFQI/tdCVzRMJucB1M/vuKZW+Rc
n9XGPkKcd9ml74xejtVGtkv90FpH9ehcFhB5cA8rm8ekNiagt9H3j6/5Nq9xEoQye2PyUPlESW1P
VleI1S+d2SzfOfnkL6Ohc75akdEvC8AkF/DBswcJ62CVWIxsvc0pe1GbPeTd1K7x1/G32jAwMvvJ
jzpTxGQqgarPvGu773LfUNkTWHG+6GYKmGcTWJgwlSY2TVDPpisOZgOAG2RmZ2s/BH0x0pNh/Bp0
0cc/RJzZK2ddOOMYgLRotJl/buU6oxFO3sY5uuVE0BqZh5tjkU03DFgW9gWvy923CSOJ6Cxwzsoo
Ihsaxp+LGD+OL4MY9M04Bvq3yCLwNttJ/0ZYXGyjgSWFbCLdMNljb5nL/TUykcmW3a8tJ4nWDAxa
qxrHs13kVO5aRZ278sILs0zF11QU6prPFiUKGIfpMfI6/5Dp7pPejeknifm5+6cDhgbdnTv0p4Uj
ym0J3BrB/Wep+hqhz90pR8WPMciWzcfP+tylmL5k1gA1OsfGyalJ06mqAIfmO78E7w4GaZb0KJke
/CgLHz++1tt7O131c/VXkL1yDJ6m/4XmZN2QxyQHvR14C0i3IEymyTK2AVSMVYGF3oVR6sGXVpnD
lWlq4Y3ZYiCCc6rcykKv928/6G/hG/4zzt1dyfBp/v8NCo8SFtvgv1ECZ/AN9Zi9FD9/JziY//xD
fxEcXPsfDOfOjWGddJLiABv5Xyg8FxdSbFWglcNjoM7PkvsXCc//Bx1eVrZvzaE7rex/O40K9x/E
EqRXFFstl9NQ/B2Cw+kp4s8l8lkkTUGGNOF0VRc6qtw8SgEfhAbemkFvFUf6ueN9DueVaWf7MwzC
/Jn8vrK5oCtcjxOLX/6+ooxnEWaHkzPu8Myob3StR+DjDPH2t5fw5Z9/3/9iOPALQWfb/J//fZoN
chWmcmcRv83W+O5wbOnU9ZUdqd3YInkYTFXdpCWAr9i15FrXhmxhNJS4sPXWbpvBVfcfXx7b13e3
SZnSRIoEqJ13fJoGd92Id9Po4oaYOZnCMCiaNpkboYdkUOKozKg+KEZ1my3D0LmBp4MImkUtcfxZ
NnRZv+LwbeC9GngIGocoxuXPQJfgTUO6Gc2U/y8SkDxfikyb+oWSKASREzYjGB5vHF+pLKS3IvHS
1YQmAQsnhJCB61QHKvjVNySF4zbAUBVcVGjg7llW7G0LCq7TTq+UccdMnryqB5pO6J2RVQkE44PT
yBcvz7ENgy07vuIvNG16/LUfsg7GdZOoAt8EdMvIczxjOZRmgUe8Tvk7HuWTEer8wUHF/rGpFGYj
jhPc+j0wvlXfSL3c86iKHISuzp8N2HzF1gx7blN3GwTsaFTuxnL0Vq4qo2ub8WzKMj5DZkhJGLJ3
4/qmzHqorP08qZ20rrdoHCaDJqFiChH5sBJBXB/SzqxumrwNDozkqK1TGdm+YsxobYi2f0j0vH/A
BtP5ytvBVZv8cl2YdrbsHFX9GHE3X4YukQe2dSM8yKB8giTOm6nYb3fOrLF3hxoJUFv4Rwfq+g63
xPF1QCRzr9f8kVGvm0eHKe1joEJrj3DHuOuyidCpHYqjKkv/mGPn1q78pLKShZUzwg8EcdJhMWRy
3cggwyCsN9dlZaa30okYeTdCpnXNsv5hBfxjmDIgCNaL2uNOU3RSC6uroBTzOcMxGrdO3GV7TOQx
lnHlADsVu8xVIyBdANNtcK9BmUblwk4Rl2pqqxlBehsywrdxvKi6shiAgisb9r9SHV4rRm1z7UzX
2TSM8jlWVf9Au2O69Kuev0pE41YCpl8Yijv2Bw3HpHT+2LUKN61Q7xnp5F4cK/EXrY9bWI+mIF/0
UdH/MtJ43GKtbeHuw5sIGB5b4EI2rnINlu0KxTnPFeeqFzfz7SXE2iTBh0eLC/QVQXDr6EH1g+bz
dFkM0XhvcpBuCzRI4N6rdAOTqf2JQ5JxB4d7WEWzoMPQeLZNyHtMuvlRz0s0K1T/a4Smv5kQO+Ac
M/EmLIdBcstg/UPBlU9Z6AaHrEmfBq3pDlFc59eh96p3Pjy4WMudiAQ5N/dRYz+jOK5mH4DuITRZ
m+gucAMykUatLKBcAJf6X62F5Q8mjixKhQmVinhRqCrbTVBZ8lrmwrrGGdC+7sbAuCviRj51tlM+
o1xhtbpoZGszKJ8F4+QXCaLsr8obPeCAiYdssxjKF3x6G8b8BM5Jfu2nq7eb8yI+AjCf2q0aZYH3
TJxMl1Rpm0dJGn47lq3hLSjGZksDNN1BZUm+dAY93rWlCcwTXGS8RSpZ/6CoAMoPEhd20ijPK2Bb
qP2QDbsMj5uiumod1J3mI8VXI3We+rIY2h9x3VlPMbKMNNyBvSosxiwnrVgzaDfgW1QNAaTDUHTW
LcJMJHqWGu8NlMHL0sG5dWHYirFBnF82rENbX7QU5SFeqZatqSuuutI3F8iD/IOlpV9avdFuMGm6
1ezuysplvkFAYt9MNbUk21XiqrbDr4EdXOUIHVY6Nb5daE7RPjfT+4bG5RowdLfurPF7jLnU2uq7
n2lk5nutCH+MnRXto4l+UGF08lhCbF1nNsBPCiTtTwPR2TqMmwuUS8GGaWMDyW7qr4wRvlrm4vEY
Iuy6siZ0g5ov+3FZoyXEO/SgpSDRsLwppoX0g2rP3A1TyprCOFgHEpPHKTVJPFJfQzm1HrX3woWs
YI1LnLdvx8KN12au+RcJEv5LSvQDshU+WHSfxkU8Mqfe+V64nyirL02jB+5WaP0ud1EXylZ463KA
F4rHF59lMXMOdAYVobHqF4Md+ztYbF9FHvgbiivNEY8kka1Nnv2PRg6DA9bS15hcxLkhIPFo+x16
PnfjGMNzAUTk2GHpsyxMvWOG0zeokvo4K9mBA8wuaH4IwJRwWEPOPA5wb4OcDMKiyWBnUjjVLe1Z
A11b2myY2oqgUaeYg/meevbsngFPkSpc4mZ9QZamT0gVShdXU2fcYnuIMxUdbW/l2x7TJb0lAHwJ
ekGG6W2szhbunjqjqa9GNhEU0ak0m4Xku7q0skZeDFOA+B2u8Z6ZiWYlooivqlmHITNHBQWXmd9o
H6RTq/tpEMC4ZwEzTajdkK1Er5UHo3amF5npNtW2fLqTiSzR5Db+Tk22v8+7YPwSp2Ja9UFXHVLM
EZaOmSH5cFJMgYcwXTeWsG7chhIzjmtMHYQ1ckhdeptK6+mxQBJZDLbAasUXyTfXwRfV00e8yoIR
aZaPvSy2GCWDsvkNRnyc5RBi9nGMJ+iCyclVqIX+A6gNY5vFrHhHlNHMrYUWPgTWZUnlL17gUHeb
t8qDjjmNBzwf0LlZtg/soHLq/JcVVlfID9yjr5h7X1rDAI8wY26MIZ0ovZTNZOwl3RbwfZFTX+Db
LZ46QOVgeu2B8VwTMPBFNIb4VCdGov+SyIkynGMKR630RO/3U1X5S5lr9bYzMvsJEm8cUwiKk6PV
hs2PXCSOfmk0Vk8HzijwB3hCEKSDjkrx5cNDgCkUTRXpxo3s/nuZGAAys2GOC2R1g+4mWzGsj10k
Iv34AisQ5naRJyYuyy+P9szP10e/akr8H6G741FT2jEqRfxtlgnS5+vRBCw6RYX8bkpPa5a1HHFb
1Xp98RYiJfgkrzLmKmCWNBhzmIHN5izbn14cDJJeCSn0Rk8bDhymf8dX8miP/qEW3Eq6DnwDKWGC
G+gyWIV2R0AUxfmyiqR9PaFBv9VKKbndWESzCVuKzpBO0DInyIuw7FHyu5Id3a2IYQuUv5zOjEVj
LPEWfFWxadyhGG1+Sig+3sq0I+7PyOdqkhpHc00Y6nxVYOIx1SZgRN2OOcMqicxsT+G+OGbIv3eW
3gyrvITp3NYJxNlcmghuI7vhcPfzUrstgJc+xKYIr8OcSKOwHXmFhfX8K/zqm8DLAt/fqpo35Skf
X1sAQovYdwlP/KoyvrANFj+FdMiCtZBqR0OYeMCqE7ZoXvNzZuH5NjK07iGKdd6dUWlesdTzetyG
uTNe6H3C/Xf9sApnUVhJsPXEnGm+bMY5/EU99OS2KoNJwC1Q2GHwKlfjK0KDeKsmbEsLLGcXRjyA
tcA/DBxkKUUGPcuvPpl2oLD2Lolgvseb5w1BTMxNuz+rOzZocZlBzd0plHdLLB4k+NXcHzfliF2i
jJmI9SPhvvYmRsYQS0B6G+YLw/GPgBEETT6OKc3GObljIvqyr03rqZeomuNJpBe6notnkxk7hYRH
Fv0FAmJvHzhGugK3P21ixYPMeYU7sOb2tW5EKPZUTpyQ5f6Rg3vaFEqMF8wNDKu6Ym62nN+sCTno
tg9r5ysOwONrjg8mRLPCwq5agDnlsHCIN4Yy23cdCycKSmIlkhTiwTCdPa0tl1dfAwNBYDjHSKqY
qhtsled3icYRSC+BFHZN2BHggvTVEqlcw1OXeI6Dvk26irPfINUDaNE/YL4ZMt1um9lzLUCfH9ps
cvFLCIaQhxTjMKmpplVrO0wjfdlJEWSIZwXmJLCqqKg0uC7SATcfygBaTlMJdNquA/Zzj+9FvAqm
+V8EBFLBSkfl5iyDmEE77LGJdC7oLDVIN4WS7ILEUjhxYhgJ+5c7DgsfxxkWPwAaRQjlKtgjGkjP
JWmMjpqMALDxrOZRR/e9ROBrLxvc1esldrbMSqI4RkVoye9jgqt1Hbfxtus51fR0mHawmAjkosLp
Hto4e3Zr4vZJGfLJGzIRr+ox7gnmeXb+rCM9TNNc+7Mj7RZRLX7ffLA3qejjLURRt1jiZoMZqu2V
L2rUyhdrNDiTzcyETKp4n6L16i9kAN5xrHSU8wPJlpMVzWORE0MqpMR7XbXlczvH1EXkZ8sob/Hp
sKZM9QukV93GwIxyDwaDaLFwBXaWsXuTi7p70I3OXJuFWb7YTR1vET6NF9Iga4EMPPHltaXRYHJB
Il9Vmbxq3RgdbGCp8qUNCgrhXktEGlgWasbSnvhGGr0DKKYM/sdWn6ofZaF4KvmULQDD4JESW9OO
/mV1qGRFNQTjKGhO/rx1RTk0HXt0Sbyxs/7GCKp3NAbSW0hN/jE0ZH2IR7c4OiEPjl7PuC1008Yg
Gn9mWlCkVcMYb70586ZDJK/ylLzcjUlPaAZNrx5f6bSOvUk+pU7+pVdQyduuJc3R7fDaKCxYAkNE
Z9DiLy20OWCZf7XCH94A2VGyMEr6LcdRDNnemD9VRSbLQQLGVpKkPtuVgvdW5wlaanola6xzyUjn
pCFWOolTpKzqRscTEfpIwhHwtgdKnMRBBIbmiPWMx1Il2CCfFuiDKWhxd9hRXkyhM16qnqrG2zIE
08gGHhagn1SnwcEIyTRFM1Y3b5l2IVg+aICypQPCYwHPJNtD7Yh3eHbly4z+0rEL8C95S8u0UOMx
MA7rLin08OjnAsoUgzBKJYn4EEWv2PONlxOfW7FUY8ghMMzsNC+kaqBLld5WktETYL2pP7OubCYI
YdVUHXgPwCK84nDAXUuBdFrQLwXPHU58gjSzKX0E2FGTUmNSKTutXGOoQhpJwWRYF8C6lqAg4X+l
8Is4aHQY3A7NLGrtVGKgp1TfJmFRoLDbofoBq9JcQ/0Y7wu4A4vArLO9Nie1KInY1sikgsNbhoyS
VF94DSytZTHF/E25SZJd4YAKWofLv+XNLrigS5VSMyvKyNpruvZL16c5THE1Xl+Wc0hVDYMt/1ya
MSUjaZGSF6UR3OpGVhxlac5wZ8s7em1TfSsNahdGE1LLYGyyOA6M8l/3FhHuMtRbNnfNbH6iFSqf
VVjjy6tX/nFw2WfLIeIRRnZV/9CBuKGpTjH1awhb141DWIQ1mn+c13NVz9swgpHmImsyKkF+7BJr
pDV/3MfL4iJmjOEumquNQ5XMpwCB8bPhsSSsqWt+dlVQvkRGEF672GNsjHpeP5AjQEFQ/8kcbieY
qw5vYYXnU5kCtZHe5ji7bSaLY9JhDOfu7WwwWkpvnRdG1y5bPvk+xates61rN9RsjorB946VzxOu
xtS8G+qxX/o5kCmnJAKxSEOWkZMYd9IBDhNjrbH3Kcztx0wvjkD+iqNtEjzk8zuIiJeeGobNJL7g
JUHRANMftmf/MA6EJzKlLqKXmXmHAS6bLfvYN9BA8gnpQnAgb3SWb6WYvqVY5MHXOYRFNKwSRSGj
YTeRS8LLdBN6ihVSKriyLUEmdqwxon5B9anM+ChGvS+fsSqiMDhQqxNxQIjWErAIqJsrk6LemsOe
xfO2zSqXp0HGPl7UpRU+kk2NeL+b+RzHYSNxUDVc+ppk+V66REsatm3jsm96HqbO9hb1fEepLzi1
nF4SWwvWmqYHt2qgTmFmKo/3Bc5Wh0FmFG/mrRKhjLmuU5Feg1GEvOjg5t6HwNVE5XM+RKSqfJM1
VUGG4cdLRuZReFRu98stArXFoztbFFXKhxv7BH8yK+V3WD2EHBVw7n1S8JHFMo6uIaw9973NU5vw
MthjDsen0qc8gzbTiUL7ofpGVJJYi06N4ERANfjELZ0dXw0QwYzFUBFOlGUglrjSjau+44WPHrqF
1KSU+faPbx/mmCccMZrR1T/sgTNVcqjsi6lVX8ACjps8SuJtOZR80LFVHULXZpOhxxNeI2ahtT3Z
8XQpnYlIeHAxmm/S186aSmcdNSQObwU6twFdAWLwdpijgFFVhMLSnLotCRx3POzdLEHY71lPUx1G
EBOogLcksuvOnv020rLzDm3QfjZfZpyOOcxzFEioEMEhgQQMPbcafhs36kpR5hLpyM6KKQ4vUanb
167TmuuwhTo2WmxtkU/w3Ya6+uKGKPOSxgZIQ3AQ4nJyC6SnOjSiHy+KQVbfus6yrqEHqnu2hOmT
Zt67tvL8Y2e5PmOhDPC/I+7S4EvdXhPNDs8WfdE3hfN1lORiupFE11pHYkK1gkDU6EmKgMoRWlHK
OKTEPC+JpLT69rI/7hq8tez/7I0IRucsRoAYB7LejR2F4CVMPw6bXZ6LioXmi5md0FXHacCWpq67
aEX2Pq1HepEEOh1FNqyDCB6jOZNDFHCbDCwqVLfsBoFd/sQozL3xHND77LIEhlpdYs8wu2Z8/MvP
ZCrYtL29fZcR4neSldr00zIMtRYDB7M6BEybzJV7oscqqWoIgnMnQlTeqmdPfG5GTpFiKMgLu9b+
q/fyt1qV/0ET8j/rZv4/5NolkPfR/v+/tyoffmENWLS/dyr/+jP/6lQa/7D4fH1n3nQhVgry0X91
KgV+XnO3kW6aM9sq04/8q1Vp0d9kKI9ZOZcZBIuv/9+tSsuki0kbmxEVMD/Ivv4WbP6kc8iMsz1D
4PmFXMSyTlWvntF3U0xfbAdRGN4t2eoiCeGw/fZMznQOT3cxj8kz7pGQfG7Vknn/uYsFXV+ZogwD
cMXMiDKOxAniKerqRUsrDDG72Gf4qOLwOrXy6eNrz+9L/r4BzBfHnIduLI/N5WH/eXFO/kyJ1PN3
oeWTW7k1tZReGVzX1vm4sXV5gRck/UVTxGLVTGP8SzE5CJmsdgTtDWMGkXHAtD2aflFp1aFLaZg1
QN20ZZKxv4GYIzgLw+mya9zgNgcu9clecPYmEP1DgKC3zUI6eYJ6bUmRt5O/q7C9XCNLnza5hvIl
dofxvhJ0fgIDkMhay4mtDJ0MbPCpZNklhl3LNvbVFwdv4C/EQt5C76d4688BHShQAnWfgI55LuMu
j7t2M3KuUsybw6ePX8S7WQ/eg+c68wA/fIR3Uh9qrDRwwWYzqU72UhNdL1RPBWk2Mv74Sqf99/mN
M8RFoM/4nE0K8ucbt/FxwfKQK72l/W/d6tbxqkPdkuOR++V/VzfA9ZDGedasxXs/XGkaTVFgRsT1
Qpqm7Cg458Ld/WQa+8zzQ7oNUmU+DOjCnwxt+TXbRQZpd1eTQmMTmbxKyIi7tPHuPn58b+T/ky/G
xgGejWneF95tCknIeP3AGtyZE5nkNHeLsXGIt+PIixupIlDBjIhKcWSjmTVnqfSpcFpLyIWirpgu
ctuu4AjPVUenJ8eURkx5psflaxdmBN1lRkgcszbv+5DoeCkmnfwkBFYJXXbObZWk/Yb6Md41hNOP
oH7j3cc3+U990R93SRGQ1i3BAROWvm8zkvJ7aBWYQdZFU60QPgnc1sKSIC/EvEmralQQVIsXVOpf
VVZrKzvFD4rFm+yyHM1Cb8iWbLmur3BqhSPXFmJVgRN+NMw0vrL90Xp2EbU92pWzro3B/Gr4SGwX
9ZAZyxrvtztTT/0NkDsG1vtI3UdhYa6KkP4sGAsj6cNntjMsElrbxqzTtOE9l+UFp0u0g0NurkXo
xDv8yUYqMHG+jkxGmBpRenc4NUHa1hKsmIwqwicvDH5EHDzLvEnDPROl/bXMjAEbC9xKj7lXZdue
wsBa9jh0OxbsL6dzymzZYti+SzE3fGhpbtIpIyHIR+3a9uX4c8QLkCZQ1K7DtBVbOwD5hsEecHhS
ameluRMQo0jod8AT8kc3jNJXaUQl7HAdBt/SryPqH0Opi0VZROqb6xW0xnN8BWzfJ7sYE3WcKt+5
djJK7a0XF/5C5PFw3eEq/b1IMvtFr5q1pvxkGQXpLy3VvEutyDRQYXG41tz6kOcOvxozSgzu/L3q
teKqDGSwQJs9tNRb4C+i/97qMjnOz3NVZogMhe/hf1oiwDFy8WRHzrAAE6/vwzTPj1bAwIGWpfhn
G7jFXiHCwVFs7CMqIpwvyyQfGK6A9r3vJku81MDsvmBu3hT7lsb1snIbcZdaG9woWRE9mWFXCfFS
VnW5od2prYRUNAQZ76jvi7EBwQZFkFejkkWjgI0NY7eJInFjBhSf2dv6fcuoymLEG9qDIm/+hLKf
r2rHkDcA0C5jQOFLjTwdq8asW3VBOktx2m5Z6/pBmgkiqtCyFomvQmjA4SVp8XMEEX4Xta1+G+Ac
u6bk8oh39YuZF8VqoI641BLHf2gZnNuIujaOruoGrCopAZU99DUsZ0MKHZW2IGEOFi78SraoDlf7
/M0vqlQXmhf62xR/wOWoecGTJqORH6OCTYTOYxmlM0iUMkjP4uoHd8UxlG7i0HOKVUJRedWFjrmt
m0a7sKcSTKNWAtRU9viSDI1+06Fn9XDuQ5a/wK9bXk8M8s0DSUZ1MY6GtY8Kle0MEVMGLvlcHG0s
IfD7FVx84GmYFS4iN6oWU4tRr9KT4kfdW+G3JDC6n47bjN9oUQ2H3PP6fdr7Lem0hHqpa3JbtWmw
pGfR7zuD7wt4JhUf9AehWOiJ2xj7gkbLVCGkBUuT62G+wGMYZ4BeLzZwCqI9xh3UCwCCL5OxCxa+
6OKtgYbpGKuSaRM9bxd2yT/OhHy5ipmbOfiS9BqK9rjVHNKmt8IUxgjj6/+wd2a7cSPZm3+VeQEW
GCSDy2Dwv8hdqV2WZVk3hMq2uG/BLcinnx/TVWhb8sioup1GA93urk4zkwxGnPOdbxk6NVZX5hTl
G7RfA05VNIhqQaZOhN4k4uQ4jaiYEcPZGgAt+cXqeGopwWWwM4xN4EfG+p/mYHSuMe8yr6bExCcz
C7HQYSpawSVZ4OEgJ/ZjSlP1JfZ0tHOrxGM81JUXJQTfe8NcyFlVHV8Dl1KdLMhctUywXDw5+XbE
F+AogVxhq003uyPGm75rmeNl+PJtEoO60JAMS/IMsJsGDLxtmYRUHYhRk8j262yANOUpIG6q+JFN
Tfnl5hU0pADAGf1HfWXHTPy9BeWeRptxPNZ6jNaqxc4Qi58t4834mtTzcSN729qeoFTEHdH1jMc1
mIszLyP8IG8/RViOEFhg800yeCj7YcDLITRc2GQdcZrRustSubWDWF6fWC9z2Sb7urOYfaU4JAUe
XC9qFUDP0A1W1JHqOLisVwGh54UaeHhIGCRt7Yo+L8UCg5BORCZ7gdn/ni5enneKId/EBeKNkXPy
zqEHykKGh3yCzcEsGFy1u4NKwJ/wkmEqYjUbiOPikVHleZtBNPCGpoJRZmHsTL1on0ttgmCwKeBx
bqPja5xdHTf6rAB7QWeQxrvKDuNtVfb3JEwTcdoh0pHZKLdeYt6osAwGMskjWmi4FfGe2+9lXxQZ
SfGFaotmYDXLbtXpklTFDvRoo2xLhRdBWMianXVqoXVA84uvNEzCYv4X3Nr/HxtWy0ZJ8EMl9IZb
e/Vt/F/Hb6r9Nv3Ys/71sb97VvsP5Lauh5YJaUJw6j7/7lnlH5L/BVHVQpL9kV3riD9QXIJUYMK5
SOUX1uvfWdP+H9BgkW/wT0xnEZv/E3Yt2Nerjo4WiEmITw9Mf+y88diwGgzg7V6qA9SLxF6Xyu62
U1Sp7DwOB3musTsbPkQSW/DKTOL+bIDvehvXcDn2GbP4bK04gxk/LY77RDbYoD4KjkStyZiJQich
S7A1916G+VkUNESfaGO8ggcY27CLwvBeW6V8dMvhORcTI9G8uEcuKz9gmzrftiq4r5ZYhBwDFmdF
mDtbCXZMEFHJjrjsiR5BRIlI6a51MS/v6s58DHg/3ZVhJNZdWY7ZsVVDtyV6NFm7NR8c4attEazo
q4ITYSMMjOLDGWlO0RrBS4tjrLki+hff4aGY1Vk0pEtIg87qZ3sQ3XYesauaHRgapxuVzUBGi6aE
55+sDaPl0yNSeEJL1ezvgaHwX0gJEJgRKq89u+eDrRxb0lxgC6YrtwiK4NOQzk20LnPfxBe1Y+et
CSnA02A+FCaweTe26mwwcCSZhY8AqSStadcmXYDot0JTEXeBkov6GXh6xIQdmZ7fFxurjozPfQ9V
1+/SYiFq2uICjwC23FEKgi6y3APvinrxqAqf7iLTJn9bXsT62q9z42VGZLHWNqZ7jODjrwY5zVc1
dl/70/drl2/FysbDK+Xfz6ycaE0qW+YPtEIlwQUKq3+6VDIffEYiScVNPmVmlDOUqJXXJdZF5Iue
c7DvONcuXCuM40OYC8jebtspexdLj/m6PS/VTBrOxqo0KgIanOpsUA7lI/a3/a5LIusREB9XDVFP
5POwVJZZQ8FawLX8mPbER3B1omPbViZbxvewlxlOPijs/z7EtZoemzpuL/zSDu7TefB3Mburu2mK
xqYq66Nz6I3xJ6S2NjkhiHqMmoftu2nmoqWVyXqo+JHpLEmgmC3EKdIMnFUmm25cuUHnrnRaz5/n
cpz2zMuDfZ5b9svo4m6OJ3pRVJxcs443kYWR9C5IzS4mi6Hi78IVt6YUcKmo1o498IRXg6q8FIA6
a+9CeBYQJcZsbVcZ/KLODC8Lt0j0ekDQvMf6Q+xUHtvQn32cUXxtVKsMTm6+0ehxfHS2Zvuhq5xH
xuf9BfjNJ6JVJlgcQzPGq7SfjXk7ZPllETGuX7cQoneMf8M1hhD1mkz28hjBg7aYMWH9PM95ddO6
c3HbGraLAdJU3DBXEMceHsFKkN6xLUCTDjPF0RY5yXyMKUMw6rdGez3m0v6ogfVIkJnI6CJmmBeV
FFiCWjNeDKtMWFRjmO0WiAsKX7egt2E6r/uxNfZNbbeXvR2k19qHNlIao7zpZGRt4Vd0J5jXhIVW
5GFK7EvgkO/Q4DI8atN7HGYjuQyFgB+p0vRb2VVnauLRzzXsU1Jq6FugX6HgnVKbNsjkM8/0U7z0
Rqp0eWBG0HwgchXayziIeNvHg52sIPDOH6mmze2cNjHlALP3mVrvwXDltLcaj0INjisxSETDm8a2
nGZCgkncgcsRl0yW+lIyz2GjEFS/o7kZXHhBI8Ka21jP7aeA32+fOeFM+BW8mcWrfI6YGYYpncoE
IRsGnJ+BQJaYj6woN/v1HHuVWHtlrdYqt+J714vMeU0/jqcjM/fzoUszBmUkwVJoWy658m4NNSwY
NKTKqFxj//ZczUSFq2Syzqqw8a6qqTfuM5jfxaonk20JG09tLoEdNSHCs7pRfpYdvXLwN4yT5lvL
HdiVWrcPP592librwpdAF9kxr5aAF0GmyPe3iNEl3GDgkgeogz5G7Cbb6mBVA7vGxAmjKrfca4Zu
Z3WJZxuvw2jdCblciPpbb0qr5ZvkxDFdjuZIWEU8GkF5xWk/XbWKwJ5NBTa6bUFXLhnc/eXB9V98
/zdJshb4Oaj7/xvfvyTK4PlL3Lffuq79qWL6/sm/E2UDKhxgR8FGTCfBZvkjyi/BvKVEy4sU6DQA
+Bvlt06qIyyGyY7F7nQB4v4qmaimLHvRyQP2AZkiLP8nJdMb6JAroOZDZgokyrd7pWgMbKC4rDbq
A3H3LzGUsj3W+uSG+ziN/HB3foH0/+pKFh5F2DkhaHljwJGX+NEutKgDkdwohM36qS6BfsYw7n8D
uv7qSlwjwKuF8R7d08/wXdQZ4azqrKbWyPp12JvX7VBQnjTzwz/+SQvgisMelzO51s8XGpAFBpWa
68PE3DjLs5fQSF5S/vPfXEb6WEvwxN88I3prbG6lrhkoEmYf+LTHLbOLdaaTf3HrWKsIIDEARSJH
Of4T8skGXjiku9TE/xbqQps9NJfKgmtU/mMk3scYBX0A9hI285/XBhPeQJXWBWN9iMcxo5yb7qZI
PxAM9FAP7H3v38EF1v8Z0OViNq579CALoPvqZxlCVrybVX2ASgyJF8rCIfWbcFUZybPpg/onjrJX
VPD/3KCIC5+8zk9q6tevl6sqWJewkw/MjasPvWJ+JgOyvrDo/t0kbVlsb34jkDW7Av0Ub/XPj27u
037Cf7fGLJNQ0qKvgeosM/zw/p38xbuFGf5/rrJwaH9gHSwKSor3nKsEmgw6pR+GYiyPpfp3t+6H
K73amcasiCsEbyyQvJ82rk6fCXQHT/3t6yWWO/PTnYOdIMkuQJvpSoQIr4ZCUY+iyYHcc+hwVSJr
o60AJzBSGG3nsUmIrIAXjLgB5vVOKhRQGBz/xhpSmm/vK2Nbf5k20Fvj3PxqhVZgH35R1QUKZKva
ANAZ2WqqobHMTjFtA5R9GxEosSNtUR5MpatNmtsBtB2nPCK9xPBqhGpHemcElovW58uJqe6loX22
BH3vei97mRgnn0WzGC7pHUPkj3PrrujpGjjV/F+mOCy2MFotFHjE/ni6KcCMA+tT5lnVmQzT8Gko
4OKMhZaH0CM1tJqIghtTXqnM0wSIthRRxQrSBp1YA42q67Dt7LO83CKMLz+QmOUcifUZvzQhB43o
XL472UO3U+pU56PfDuD2nh9X28nJzT9T8sowI+T7GNTYz0XIj86Grt5VQVRfoxWqNp1EkAqFN6Qa
Fn0eaACsLti7JJrtGhPBTdow6jRUbQBD8+vmgr2zIG9jDQXfQqPJ/hZHCQNd8mWIMtNih6FG1a0H
TKSOTgFjCrO76lyYHd4YBdwPPyiMtZeb1qcoXgCFSKRPkV/lD+5Ic9e0dv0ZNNf6FPLb65U3QgOu
C6ef+U4DqHPs1UG3tu2J7Ua7Dn2qAW3xoR3B4uCXFbe0+t1TyK0hyKqpr90+fTEFz7Qn0OUTff+L
bsfwQ+fO1dm47M5x21bnU77IGBTMKpYvo5KYzE5X3+GZ75xxqHRgrGjyQPztFZUIVTGJe+UxiYgW
WDk9UqjIroPr1I3KF9cIxJUgVHfv9jl2SpYxMhc+vXl5S4QqmZ3+Rexyy7KEm4BvFyCIE0/rApj1
3gd7WKKfk+wpIG1tVTRjtWHkwAgCSVI1E7Wn3HyfIESqLwUU6mDjAsw8xmFtBFtLDK2PE3uWzCsX
cuwFGd3zJ58kk3sEJMWL5cXVkd84bQlwCldokpsDk8XgoeLlvreJe0/XEjIaCVEocIHw43ggC0vD
n1dYruIqxWBv1YU6k4TG1lG1IiLMwM+Q8UXLwGVTO+ZsrAeHU3YmRg5iX70EDhF9Ez/g/Qmi2ftl
+swE1NgFJe8RXvsAvUkw5PuWmQwUsWB4nNWc7Qln6DBHM5SV7NLaljPdk49qSbURnaCrM/HnHNTt
V2vm3XIMtEWbfJTtx8GD5hCljjz3ppxtHM63XCmUCUf07gk6ozEx1iLjScg4yp6ayCqPOiQsDXmM
tc5U+gLXLkAa7NpHvojYEeE5bYypBRSOUUgCVhHE3Uf5kizGE+ptTt+eSKh17EMTknEQfkgH1WeE
Ouv4W1kH8lBmLtRxN3bnC0f0j3U7DXtc04CSgp6FMI9+SZZP8tKidF41BnFmrcj3JAV+63rlbeJW
fygb69BVw599PCXHonRhRIe1e85p7N3GPS8leja9hS07XDKoCJb5Yb3D7pLJXO1ln3xRz+eE2eyK
GSpqNOu6Wxdj1mZk46W0d12+tHpK65s4R7da9mlwbVPXogTirc8YumyGgTGf3ZIgPSt2t2Lshr1Y
jv7a4XdbRfqctIZ/7eN1+ZxrcijtoRPY2kB+SJ3QPuqeFUWeQfjUB6gzzXyqNgNme1vZzrxGTEwD
/GF7kmIMxUg4atlzYmKrb4WrGrQT+bOUbJRKsX+QuOndzgmBpJZS0wbEnrmntHv/lkBBBdGdsHTC
6FmGfaCafW4W/YbpJ5uY1Vcbd+TSCg76IWn9DiWhGL/EuJnRPpagki1BbNiv09vm13ZNGFw82j4P
oaiv22Yp7SurOs9FzWKCZNknq0I4WKxxd5IwgDbrwik+7bro4D93mS++mSO71bCsEWnO4oppT3KV
SgY7oPspexzFDBBlJ0m5lrsWujQYkrLW0oYY0HQVEM7sVh9RLAfMT8JyA+6g1hy4I6bXHTt3bip1
iDgN7oc6CsGiyvIYzj3oS8/eY0TsHmPAS58NBfc8qPqdneL8FpVDcmWHlvlnIPruHFYxJXHVX/tZ
mx9a1xz2aYz/URFExmWnkms7sYdHI03b60nH3SWIyyeiGkcUsijd/Ql3fWcW8jAHyYxyoimua0OF
N3n22WuI/kPj9QJPiWicLvnI+/ygBjM6WBiib+OoaNadaeMnOCGz5FiM9mzufxqy6leWx6G3OPic
GUmcPxC6Vx5VyY5jFj6aaFPUi10t/OLvmyzpq/gK8Qx2tH8jEBcZ5pzb5ZrYHN0fMFJy1B5dx8pC
dTCuujZIS2QdOZtZSp/ZsETSoFhjAJCdlWNjBuQqeotBoyrUBjAMGkVe20mB1qrpgKjCsVmybq2P
bWEVx7Gxi2PldWYNzIki0s5bhsQCIyfmco3GnPh8+j6Tgcev2P8KgKy7BtYJ/qVZSoylkwxFfBzT
wCZKk/DlwT+i3K1KxlC97dlr2gFcc1YziSgv7ZRCKvOHrPhWS7S8Iom8M41cAz+DKVALKVma26bV
7OuTv3iyrDvVdTcleM9KpU4fkBDjRyCIdawcGI+9GBCWifbJz8wM0bLOP8Dg0FgWCBdONfU9esra
m4ZjmafZJqnNPx2/P9RpCq1pshEuSHxsLJf3i41juJUyNS6FXRro3b2C1CfHmva8pxYEhRRBWp/7
3cFqwLJ1Ez5nscy2HjaPxDwjnCIbWDwWnaWvgGzJm4XMb25Kx+qNdZDb8xWva/Qlyj1EpZloDdQW
OqC6NYyzREvT33kR1AwU8GzfTkR1QsPmjKvRwd1sU/ODDxniH2RJkxx+Q8d6a3O0FMTCghu3GKm8
6QJrcjwM3+mzQ1wUzrEf2uKlssm6W42g92axihxKqzzPuW1xKrqrwaWyEFmMal5QVqHLf+bgKo++
BbY4WbQ6bVLjN5FPvTx3yNy8KFWqkCq0wbYbGoQQHfzZQ7QkXNhkwFfA2kX4AaKT82y7eCWtwFiH
vW8I7xYxPtttOGlcSZMkfTrtgWUJb3A9zhnD+vf7nbfWQIu3iU9HBUGTWZjzquFpZ4Lj+9bMDxDS
2Xutcbgkmcj0sLukZiIlPrma8PDDYWCmxsoCVZ2z+TGXtQvEwCL4Xd/8esLlf/daWYJ+iJl4E1bg
RYSz+xwnB1WIh56JvMo4X0YveS7z/i4EfN29fweWzuN1d2TSqTuOoDfBkunnjg9hrywiFASHoaEg
Lckx57CmNCnLuDo3HHJK37/eW79EVh9DvMVsDZ/rN+7PJVB05rgZPvk+8fErdsxqk7TlUG/wznmG
3RFss5a15kp/vDkdwQCymIPG1ih22CsY65DQVQDeZtjrlhrn/e/3ps8OoOwuo0xYu5iSnShyP3TA
mMiOLq52ySGg395LI6rOa2f83Tv4BrHgKgAVJL/A7cRj9VU/2Cc99KuySg5wrxaNHrtGWbvduoH6
TWBrxoBwSqncmVQOj+//QOttP0x9sJAJFwduaMivrj2JzBlUPuJL2Y4wc3MHDbQRhsFT0VOXQoSS
03VgyOChdKaHLJiaF6OW47aD7wffAepWsmx2CpIZwxobPUJNLedk6kDxi+gQSfjXJhRhd2aEWHp/
B//+i1f/Dq8WYpGAvINXJ1/waH8uf4Kqv3/oL6jat/7AvImXnOE9rnkn1vlfw/3A/MPBCygg5wnC
tHTc4D+EdP8PPMwxX3IRTcOsXZbqf6BqeO0kqyzQJS8NXPX/+T9f9P+OvlU337eY9tV//9Fk6nUi
AMiWOJHRQQtNuKev3ecaDamtyVtxXiKw6xomg8wHD0rSpSPyLV1ocvFETm+aCWOk3iTHBVE1I1Gc
L2v57CVDaQmcJkg50PgPuzMRSkQDOel5ZDVGTmhxybvVlC0+UT/c6b9+yo9ffXljfthDLTZkcOjF
p5KNQ7Jt/LyH+m0/5liSqnPExvpOxNDDJTXSxTR4JoKnibb0/QtyEry5JJTg5ZAA13d5mq+waSPJ
7droq+jcdYOLqvNIK88Hjvo9HuNRg8kRdPWDUCb+BSMzQL3uncFzDoHLxrOTEfnOZ6GHP9ZqHsig
WpVuCIhhda6+8csEOjnsH7qtRUeYW6Kb905YVudpu2RjAahwZIuMyeeqUU0xryW5j2jnxpJ7bbiD
voPTT9MlZvnclTVctrRZZvYBWEC0VV64VPwyFBYEBwNIwOWJUNl2bd/vcKudLicXhyolbBbBaLPX
K2ig+8kxAgVprRZXygdEWHvwZqMtouIx2oKo6BszdnIMbOLIuhfCAGVIPEayq1ZhSmDEk76J3JGv
oa3E11t8ROvP1jASx+vCvoqvdVzwjRiZ22ecspBzFZZnmFU3BpolK41FiyEjE4krbMw9Y+d6k1s/
Wow/42OnWtZf1OYzWBbJsnezKq17BvaW/lT7QhtPttVx55KWuDpMTSrN6LbG/oshZsaHQgK0LQr3
gX9a9xnfzkoHCio9N7CnDTNN40UUDpxXQYDBewJPloQQulLCgYzCh36i4Rh6xcfR2tLNNKS0xCA8
89psG25SMjk8Bddh1PUY43pVH5zZLIot99Hu1zKxuS2JkQMiaIm06cM0wzlYD0tQ5DnGsXl8nJdH
4i03h4F0xvMj9vk8aAyAjSTvDA/C4TBextE43xq+iYkM6JQ+LI4PPnLyBDZKqyZewhy7Iqp714Po
WQ1WvsWrKdrkshGLV4me7pG4dVecPjRGRRpC8puxqH6O0k5eQq10H4zBE1fMSfMb286iZwtk4gBw
7PjrxCq95zLKhk+1baYaITxLNh6Rxw3j0PnrOF0Kakbr2XS0tCvxKai8gDl303a3VjIb7kYOHstm
UDA54KsUrro2Oy1xIpURRON1AXl3EYU4fjzbtOyOYX0BLuXZoWxwxpcJHmf9mT8WUPT1qO+SwgRf
gCdMzGXEGmnRhfZr2lZxj+8cjyfPjAYCUDjybDEbyMEwvar+zJ3h5fIgfs77rK7GcNfCOG0f21Dq
O58tXm2N2eMGJ1ZtufsMfeW5xF2pXoW6pdkeUgDDNET3wfCiOcB2n/SFDY00WnlVz1VAqNKZjB14
RFusA7kvXrCYfvSSAreMM0vdZ/NsGA9GD4X1orOUoW4mjW/NLqceHj/OBT3cx8Qxi+wuHFJMNbCQ
aUAioUrOw1LTz1PBvaSh415qc6QLCIKIG8EMSkGc8fHxc9hV4mPdYD24Pi3kTBs8uArfHbVxh+Wl
6BSC2pUesZJgM6+s+6Q3cGVj+hS7jzr3e+s6DZHjIVIXWfXFs0dxFbs+QL+fF1zTyKJUH7wwUumT
EgqjihUkme6rHfpd9kmxQ4gY261ZqusKxrPrU9sYYbD18shQWwt+FpxpltOxbTyeeYcq6CrtZlt/
8vuwyb5Jr7QsAKAJxj0k38GyrgvOn7lB7YrXxFlYWn6Bq0nlmuZZbNk06HDCANcN0h6weZvRPcN1
vioxZX2UQx+CoYoPHrEhC4O66j9i1GdskUzGGxZGu7b7KD6z8yDEg4+M8VWRDCOcHDHJTewV8gDs
4i4pCxCyEzBsepudQ/ddpgwBprBkk6nO6to3H1pZW2u7MJ8McBaEDFDTs6nsVkk8av8gMmLW8zb0
vunIDrHhUuU1WdYX/aiaaYsoQt8SDB09SXsot4g+cDovW/uOoVv5JJy42FmlCdbjzYVcmZ2nboII
9p1XZzSLEK9hqtdR/tFKW28VmG23m42O/nvQxFcorBsYOtXXQz4XFxJ4YdvjcHDLtl4/pUEffxic
/Gb0TJ3uVUPSfDMRCG5Sd+5RSyQfotbNP5IN1EY7hZjrgvQzwNesmY+5EaB3sgEJYA2ViwEC0Eky
2NU9h079WMqijjfp3JY7PzGrT7ELo0Zw9ACyuLIv167XQypzNeRAYJBNFHrtS6I8tckR1x6sJTpq
xMnjSkat52xiU5YTVj+UA5tWWQNoaFHt/byZlimXXZ15sbZ2kRS3aVjVexPX3w0B5/UjQn6gHzzr
3LOSdnjYToXXXzWdE34I6tjdG+2c7aSBKThJpbOP5bDrXhlx15yzYU8HvPans9EQAb7Z2bidWqXW
HbYr66afUnwaWvd+SIb5q2nm6XngB/O5KhVEq/crlFcNDiWRj9oPh3b0Shad9auSaCoiB6Zf5xxx
cOAM8wyTI4Zlyz5XaoAjkA8+tTaKgT+bwHb68P4XeNVI8wWgovKvU1eLhGP5gj/0cU1V2H66SI50
VwOmlAuoO9qcgo4BIIzzVXUess385qqvusfTVRdHY/RgAobq64EwNCfEBKMMjg0M+M9YIrIzQQen
yHn/172aJ56ug0AY1Rnl5kK7+PnXDXHl9m0QQS4HJWdTNxWHxmK/InXIjvXPL7bMnLmdyOtgD/x8
McEmYiDHCI6o0IJttdhknAgKRtIH2/cv9baSBhXAwYVmwMQL/PUkv4kCrzbQBRxtdxJX5WK/IDH8
BwfsqvPWA3f7x9dDBUXym0Ceilfsq6m6QExXlXkhj5Aaw4fvZ2AZmxxZslxmKm1CaPpvbufbNcIU
Dlqlb5KSYEnz1TWr0mlMneOe1PfJkpSOgYIW4++iIX95FQ/VKFmEEnfgVw8tD62xDJPWPUbQzA5T
gqrT839rm/+rq9BQomBYeBdvZutuZ1uNNPgtJ+aFmzC+wejkXzwlSWQeDsd0O7Sbr+5YBrkV2wki
HqwQSQdm6zyTYcJoeAulQ1x1tR7m37R0b7cP9nS2EH4WYVdc9uc1D4kznMbcdY5GFbqPAosTZqMD
pUhPOMu2xFkGlWA7s3m9vyDfvth4okOZITeXzLk3C5KozcSca2nhrsvLFVZsU50LYWZO8fJ5/1K/
+IksDqhN1OBkAbzeqzycM7lUYeFDsjhfFKI6n1vGk7mzoM9LB6eXVfP+RX/1+4hD8SG2SegY9tLX
/rAtD7gj2XHgimPuQmMpCygLuenHexqd375oJxTt5748AJ0gRMLxAs9/+6YtM0+T15lRaYsKKRWF
JGDLM/O7epjVVYVhL5OLiTJZj9R1DN6m9mpocGjcMb9yaC4qpoV4WX0laMSm6pxLhu9+5ta/S4Z8
u+9hX2Yj72c3h/X3mmpWJnJMsCVkhRdgpuskxOwmhQTdrgj1ZKmlAWX9+09CvH13l1RP6kqgSHhu
r3HAKAcvCTlijoZvUOvCR6Z/6PBs/OorwYkV1+Gy3tNEXDV93nzG8GUWGxtJ+V3TWihIm6ifmx1V
EhJ5fMzizftf8Ff3ZGFOwlPDWcE84Zg/LBW0nvgD+bz1xexTdJsyfRIRk3KCncsEBxnzdzDOm7UJ
qXB5G4ByWKKYv/68NpukXYr+aT4OTug8t3jFwaVuSpapXsYb7/+6X10M3Ih4bMKCOQ5eXQwqRUAW
YTAdNXlzN2mJuy+ed3Q50qzpkt6/2JtHzS9bxPfCtJda7HVaWZEZom5Dczq6aMZcyteOlcWLSJf4
/oWsVyaLUGHZLpezGz4jJ+rrwiQntlqjXRk5wFXc3pj0cP3awGKCyDKSn9rzOh1AQpwIu6x4jJm6
5bVnK7Dk5RisGn0XJxk4gTHSLDHsw8Jt9pgfm4YLlAXqZe9Mgr1pz5uM5nhkXHLTlVipFv90Iz7F
3jIm41yD/Pm6EklK3J69om2P1sz8eGRKcY5nXLKPzOkfFz1cijXgMAoA0nszEcHBx+oGjRhTQSfG
nCrl9zdVE2zJlK7OnVL/Fj9cTq8fNkYwf/ZDa8n5gDFOkMKyXn54tcq5sEWjpHN0G+18IwF1OCon
DB5OgMiiehWbZs7lx0pr6zcHgPV6iTgLSROyps2VlxnkKSjxh4s7OQQDeC7pUeBpXcwbM/VdQg4n
LI5s1IY69P/ENjNzNkPFsPcqQN91KG0VJQerm2BSWFY63Zl9AYo4Zwte0yhvqet7xZ9PflSqcNsU
P1uR3HjdZJT8TWMiDwF8IMbEmW9XtzJtmfEvyys3OAz2U6dEfcSVom5XGA/oGzlqoLE2ZHh7ngEc
wZ9o8Cwgl4UR8KU0DUxLTJEVtyNow5VyO2OvncS9qSZhzPvKKxnuDh1O06aHAfIFsLRZrltP9sEq
dlR90WUOIlMvJ3tyUxE9RAM9J0ccJMUaeznZY/4o4gb/7R7Rawf2jWa3erbndGFV5yIFPOprkYuv
I9IFQHEDt8l1oOsFDMXuN74ZJs2fPaOBS+ZWQJRQdgLixwh0pikpm5l/OjcYsJyKzyELQV6CfKlr
mpp3LS5zSfQBetZxnYloobZOSgfZWeQb+q7WcxHfwBLKq4ssaobutoV8s+i4PN7uShR1docEg/NC
9Z1odsKEsJaZUI1R1FbZHSSA9qtm7jqD8KZy/oZipXcuVSMWKGrMecwYKfJBfrp8lrgbzR9qiM3M
Bq3UuRgW62IQDRymd0nWZXrnolArNuAgIFfdHAOE+8Xk2lvIg/yN6LZCGFmjXZ41Ou2ND7pKuHST
zZxagcnYvlnFud1a1+U4yO5OJEbcbjKWS3xDu4gfpJg8JFDQ95yzYVCtl2G2NBjruS4xrXAttnA5
R6ygshxocS1vTLwLZwjFeBZjoRhyrgroLJXKwbR8/BHmvc5pIVdMy0EZmThrdS9KqXJcLSULjCgo
17oyEsXZcKoDwOxZfdhDAjXELlO4Iw5SGMaGACE+8vWp0i9BN4c3mL9CKz1BcDLv+TJ2rMW9k1ry
OUGzFiIlaeFlf3+tkLEtoiP23tEj4eJ5EeEowPlJ3AstYqagnIrN2uogNqyVK1lFje8uZLNccl+t
dsHM7bTt/4ScPA47DTHx5vtoRvjOcyjtpZCIHGo7v/JgeYp0QWIV8PyqJgX4oIUJAn86/jy3B2SM
wa68C4k6E2WQmeh0h92V2Z7D8+E1LWqDSUM+OdxYh3gVe5cGVpTctmXDFxEm2Mmuzq32rpxFo596
7dkGVt+ezLI7vyLu+1LqXNy7aVo66LrDZPrmG0wytvDFLed2EjUocDxRG9u8f6NXcB4zBoirVQxa
wFpxmOZAy3Q62/tEYZ51UDJVh2nxKk+GGt/0MIQosGYLl+kxVy1o/ZQDSuKyWM4+iABss2Nhmhqo
DYS88wHI5n5Ix//OSVG0Jd30mzmpLWGM/FCzvJFBPyScFGXy/OOc9K8P/TUnJWLIWnKCXMhWizRn
cbv7a07q23/AmeGgDpD7YDBkc7D+J2NoGcbBMmdyCaJgMkL9WwXt/sHfxrmOlpQYTMv9R5Ie743b
HvgIwBZiEXobCsfX2gp/cImWniKBdddU5oh/ifBUEFzWczk1F8loY4UcPk0lAaIrGtf4I5YPENtM
JjZJHPVXdoVmDiMEe8drJkImctK/wSO+Pgesy++rcjllqZLPmrC7h9esSQjtm2cYcJnC8Jgb/LEl
rezhNC6si5EtZLAM9VUuM8IqhgTgTFo+l2bDHqst5h44jPN/WuCsh86tjG+ZxvQS349Cf1tIKV56
TFpnvIorb6sKkl8jnZ7zLtfId4ewvIepH2FNFRm9c9V3FFFIDyvj3nBk3a1whx+29YL4Q+QjQ7NI
GmcDLKmvhNJ4G2ex/5RnOQ7SLUZe3JbKsg6Cs/EirQXM68zF/Y9KhZhgBMtyJxrTWYVt9qdTzOU5
vhlMDPzZ2Uj80B9V2kIJFaGD2w3OEHlojw+neqSoSBg6c1osPKD51zdhMJveXodgZaYejM+4V+Bk
0mo8f0ywfHituUMIytB4D3WbDDDWXc0sBk4vTZhOQ7PZhadxCaY6nXXdJDatlkFQw71q2Fj7GvPU
FXZj9edTKU1PKe6/T0m+zyxOM6YgowTDcRSS6/eSP68Xg0wMSzk9FVkkV3S1bOxe11L22FDWGAli
osURFQd0PEx02G1Pta9AiYn4dSmDvxcf8HvpJJoeAywCSpZjQNpT5l3UCwqJHJzTgbM7fEgdf0HT
euCLblgY8XmMRmFD6F/w8H38WHZUnvjqsJUqf6hggynGzpaQPNKTAevIzIrzsgvsMzvu5HOt86bd
/1/2zmS7cSPd1q9y153DCwEEusGdACRFUqQaqs8JlqzMRN93ATz9/SDbx+msc+xT8xqVy04lSQhE
/M3e35agshMfXfRy7ZUzr/85wTBYA3GeyIUP9Ik3hRnAVrpfT3oa3Zk3MHEyUBhFKW1WMYZUgJ/l
XRSiVISsgVt/4yonlxvXwc58E475un/rQz069PU6AoqqtP+aphX2hWzh/8O04K+NgfrkV4jmqK4q
lird6GMG5T9It6R6VJ92ABfEGkXq5+6vBa7M/n0twZABImYAOsTabB3BfAqCpFbzIcLB0O9Iv7JP
n6/IDoJqZ9RoFIBKcW82I+ip37ZnU5txuJrSolCQk8FxCa9HvuvgiFx48PQS9jonbljMj35D2Ms+
SlJL3kcpo6YMCGZ1SMwEYeYq5jTRIpFR7kdmzseaAeAQQJXbL7JPZ+35812SwDxEew5jMsmp9nmz
FkkCna8htLshT4oSOM8IRPI7e6KWzgr0qQ+Y9ug6qRtXvYG+Xh83nfXupp89Fsr2ancAa0DZPye0
364XUcHQOKK9qzRuCHhaDDI/C0QHGOZesmGdd0lT598XlnjwuG2N1yqFQS5HZGlucVURT1BdO6JQ
rF7rTAXKyeAw9x6Ulg5t7kWfXHbEWObfTO40M9CrgZQeZkOAaik5qdVdwEy15c6+ZWjN6HcGysah
IBUgmKkFb2zdCa9Tb/ae+WXa8Qawhbik8dwvPiVA/dYzQQ93Tmqoh5G7+Cqd3GK3ANkI9DGyQBj1
3UdKoDtFBIfOc+7l6sG1NSpho+XGNtqJeNeIC3DCJaDx6YpVILZUzKiDfmpzc2N5jKsDLhkobjIm
nf3EXuSjIXrC3ArSmkz27BNtpdFl8hBhQDgwQ1nHG+vYu4XtcbIHyLe8YDHdTphJt3JEirjVelTK
RE4IzycPoj6QAGZegUKO46DlxLgvRV1eCMcFro39Pq18MNDGE7lVzk6DKvQNoad5DNs+2aejK77m
lrM8uxFlGTB1Ikaa1k6+mY2aHgfLmvGHl8V2hqwYVIn21KZa+xwbstvAJAawm3suKhBBjWVQUp8E
TC/+nSp3OqX+tsQj/g1BCEEnUNu7axjwTsr0bI1CKdZUlDlLu2vYuUSlgDER8Lra7FysSSrWZ6hK
+BmwAtGZ6pM8j3ZNX4GIQhDL8hnKouZmPpZrUgssvosoaM63OuzeNsjcsROnPONpfg8ELD6Aubzq
R1vtltEcNx204PM0lBANtCG8K8eWp8ns+GWi1cNFlOWriQ0BaZ3XLdHVOCTmqc7g3T+FaCyepzhv
H/JJ3sXW2FxQDUT+FHVwQBglPJROj9tnoIy8bVBV7Zm/A3eKYv01QkxxLUP3cYkM+2XoZuOqUlbV
sk5hWsL3A2b0fqSh44s/7QmnpkmqjbuuQ2luswe1trke6yekl3kwh2jJ77u4ImOBTcM2T1vSG1Kz
JSpoxAe1xfZf6ps4jKcvYa0Kwq3I/kl3+BqGYj83ec4ICK43zVhTBa7S+0ejzCiGGYHRZYEMvh2Q
e2Ma1urDaJvc1TSFXxTH+zV5NMNNb+hfaHObNe5m7n0xqdrGvB/2JygO6WZkn/Qwe5q8nlUq7jNh
999HqdovM01O8656PR/vE7sNI3BKCx1snpVB3bSvxryE9zEk9E1mZwwWkOqcsIVgxyeqZXRsMAWd
qd2idbS3HRkrgNec4lveT+rULEm6Da3ZuE+TfnxzE5sIGdLF7zwsNbcg0iIHp1xcND7u4vrG0cLs
TAaSQTbAoGv3MqssYuGGacvlcvxR2upYd0X5BRCnDKyqfgqHWj9mevvccyRuY9q3TZfqb8KIDime
vJM2W/J1miJk7UjnaVDDTmxDlMrX+LiiWxMG23lw2r07QL7D4tf7sS4Q96IiUPI0xb3kEwICN2Jp
5iRmGUPP4afd2JJbBXjOqZjcam/k4gX3pLOG3RZ+iwAqgKQHgowkn42oR+4Doya9WEG3ikwvXDaR
RNBS2hzhu3Wlg0vAqM17N5L2nctC+KFqsaT5bYnaukvjPsgWtdOcfjxD8bFQP0VPtt6gAWy1ZCPW
sI8IttvO64viIUlxjDLFT3PkBSLZKCNPu22tK80fehvLyNzF8V0BVn2Xmfr8iO9kvJ47U3/RWn5w
tKPqzBNo3CeqS7pNX3j3Zo+PpC4Hun125PW1CZb6EltFPgZz2U1brA1Yj+KpAg4i0+GeFF94VqF9
AFPjnirMak96l4c2MBAicoYYblwBFM4SLjFdaoye8MA1vtOpnhO3w+VVF2Tq6pHhSy92d/Zg83sg
2mey/aLAOxm4zmC3uxmzAd+Eos+CWlnNTrJppfCKPfSL9KRX9STd59rjg4+1ah/CtHJ2HSaFFAmK
mPZu2iWbJvcy3w3ZrqtWXGLkxpCI0hgjxRx115WcJZy6eB6uVSur3WQYytzxM+qMFSJ2gzXP6Sv+
Svs7xMdpmxDNQMqD1+cfteM0+3WWtM3X0qouOkwn48wMQqJYITEhtbeJ1tSEi42gZwZ3OE+1MDYh
ofArsGXETuoY1xlhXjcLiH7zifMtOyNBMeORRBZV3KU9dKcus6rLUKjIvuSeZiIzRADoA/+gLCgn
+WsmDD3aediJ+ALp1IIZY0OMo+oBMpM6lVnXbecBP1yQMljHbYRAzcjrmicvGdPQi8ilwlWSUmNJ
7w20UHVZwimtIYLGO6bL88nqLOumwSyEFa5ptM1QWcPRrPL+WokGQE6ZqDth9d1jPBXHZmqua3dR
m8YzmtuCEMAPMkBBxvVNexRA6a/ayH1G5jTtnK7djE4r7yH35UwYCGtErqWKKD+y82BYkHjLMvsT
c8KUWJCyIjDAsJfLYOpkThHSHnH7GPnos5aAGFcOXBAzXE7Z0GrFxzyq7k7z5uVWi5c22UZ1Yg2/
un0Nl3MuM8dvk0GGxhWR76Z2CJV91cSmc6lEjnAuV/E18UBOiFxMf+8nrz4ri0IucbkXDsRkhPye
0znbuszGnItnSEt/SQr+qZ38FpnFHSolxnawXNrVUVZPL0ssK5BArRs5d+hbmjtOv0NfcIJO/7DS
+mnNQTIsc3pJ086emOX6z0vbjGIJ/qZe7S04iDQdSUojS6wZlfsPI4P/RvD78/z884U8W3IisJBm
W/TX+bnbUsw3iO72OXOwd/pUtJRASqnV+DWwOkpc2qyoUtSjn3q+f/fVXVbhUPZZsbC8+3k1USO6
dPRZVbCzauPRnkipT5pkppRAz1IpjVe1e4d6UCOrs/6HvYj4acPDRUaebeisqYXDivrnz46BkgTA
sK32HSZDSEBTxODWyRrjsUwJK9mAA+fDjzhHrvuoplzRW0xxMLYjJ99Hklnk31+Nn9aEvB/Tgi6O
xg3NjZQ/v5/Im4bZiGhmnLaVh8lk/GAlsfG4zE73FU/9P26wf9rc8YKS7CvLYF9LRhIa2L/+8vN4
nNnndRXb69Y79TH9GvoxbgOtZ9pnVMNHnKMXv4lGdzAPbWub4cwmS4uLc2qlyB4/dTN2U8r2tmhH
QUKmvdTH1sDqPMJHA2RVcSfJpQyp1VllfNUj3fSY4sh+eTBsjXFlo/BbJMNAb0HE6XtljVP/0CHw
73ZLj2O0C0o2MPLLQhOZEQGs6NIjprE0eBENaLbqUgsHN/uUE0/Ec6L8zty4fDDx3neERHb8eUDe
9ZteSKVAnylHWw9Mna4a0OX9QkJrB/+LbvHKXRc0M3+wvZUVVryrlvG72naIa94+ByCF3Yibz1/6
f2wg/zDeNBArMY78n20gd9/KsgMU+v7TiPP3H/xjxCl/Qe8BGwjTBoth/unPEaf+C9tIjCOGjRIB
aBEv9ye1iH+1BpzTwOPdsn4YcZKwvkI2HMG4lAcjM8mfrB9/ZwUx7HX7/eOCEkEKBEp4SgZbMLJF
flpQ5oWJtqbW5z362mzGo1olYoNT37wx4ER4W89IKdOLAi/iburtBsMsOseDdCuh75amnUBN5LoG
gLnrMVTGPERhPANI3bTeRz324e1kgykrZqFvKK6U8JeCjHCfM7HbpmKmSrJzA/mwyReXxGxYHb7B
DgnfdRovZDkb1XPbze1xToGmserQ2bQty1NoaDDVJNFa2/aTtBav0LUoW/lrBD2hqRHYo9+XdCW0
ZZ+0tuqT3KavELdiUIR4xCV93JJ8g/YYfUwr9E3xM6/WXKXDxluhcPEnHw60JKw4ntE0K8OKkKtW
mBwRtPn1uALmkgob9LhC58SKnwv1EBJdxaZ56654upQJ2BhYXJRArfg6jg0ksQX1l+/VIQyzFXTn
4sIIhOZAv4Obph9LJlPb0gGOh+o5Ao7HlZcrOm9avOKuX3F6wCuKexj/1V26wvYIU4G7N64IPssB
xpeuWL5sip0dYhi9D1q3OJcOhubt7Niw/NqsXtKgpKoAOdqfhkq+or7vH0TXlUAqW9YwUCtSdNzF
igos28F8Rk1n7NLBdNkPIffGkB6GZ7mCBmdTzwJyPJazZY3dxSEwPN2Slm4dEbHr3zvNLreyEBdn
vCu8HKHuJJsrGel3EnFeRTa7Yd4InnVvYq6jp7Yw1e3YpRYhVvYW60ofWGgrfCfuiysTzvQRRSmk
2zot7y29l+dMGi/JJO1NBnN6A+1u3pUIxR8wyjZbW7OK/aQXzJsEfVCWphdiaumFtc7ZhEpOh8iu
4JYSHVyQ+xrQOELbwJnB8H6swn3qhdZusIvsuzdNHyL0tF2Fop5VVZ8LFE7MU5k3NwciYgt/yT0m
QQxFNplpyI1dWvcVd1uAsesaYHa8Eg5AuMfdK+srVlI873cx3A3fml3eJYCqIBoi1gKDSI75GGuv
iOeiQ53HzcWiqD7PEtWr43bNJsVrA/1ejUEu2/jGHBvuG25bNM02vSWWLYoyXISIcGVIg2MP1haZ
grrMU7/GVSWyiq5suDiReEIQo5Jd54nJZAwvFmmDSpjiKHYvEz2oXYMU99zhwTAya3qwwAJYko1d
FotnIbkXmNCkybXd6s597zKgeFFyAas90EOaO0IjGT/mdjLz+mxnPXc2XjyzBuCXp2voZRuaMVoV
UWnWq/LMMj1MlUFxk1dLyqdJddLQrgA0t+PDmKBpeMDrMAA5JrsnNUnQJB31LcuYOZSbZcxKZ013
A+Mx17ZHJnFnKJ5sQxJFbwXeeFThMUGom0yr0KOaZIHpW4UTiag3kSg+vktMIlaZtHRdckvNnpDv
uXflGz3q1H84vwWBc428gY3n0FdHkNympfwyzHqT/7HD7JDqlaWVjAKGPnwss8GeA72hwGXDS9w5
Xyyhtv85qf83i0iqY5fz8X8+qc+kB72Xf9lD/v4zvx/SQpe/cNLaVNoO6mvO4v86pDkSf9EpRFk1
rmZqiFJ/HtLeL6wg+U9U5uwj7VX4/odfUwJq5mvooBhHsEu5/O8c0hS9fz2kEXBCDwD9TCVACfEv
jLd6qTIjDGfi6uraE0GuFcxm0W1ZAfkX2QxvPzNLkpMjUtpWh9Q5MnItyJMo/tqF7sKwOCo4EbCL
QR+Pl6YgbL5z7I+FAKwtMTSu9AmWn08VAUH5S7LI5lR1i/41NSMFp5VFyMB0TTjzptDG0bxKNLt6
cvreMQ5d443jUbHNmM5tzUM+RiQCScPIZ2wuNsHZiEkC5mEg9mftpA9zzS6pdkkPT8vF2DRz+2Uc
DBxARkxQ4aj0OZhTYClU/oPlMz+QO88NSYEIp5LMBWnHyZk5+HQY8sHZa+0ABbkqGCa0Sanux0a7
MtKBwAnDe5kI+r2KtbzHjEaPyLual/RFWR1RFINZbwa8WrEnEEeki2hZdk4ZbmqGD3mqKL/NFro6
HAYCfSu2C8HCaHERPr95rrK+DOIuMRLrCKeluyM7PrWvJyiUH1wRckfhiYTt42LXywFnVcfI1Gkj
lW3XiS4ONjKtr1q3jomeV8Z0JsCP4PJ87+SzEKQW2ItbjNA7ZBz35j5NFDsvxZwGjJJzvQwKH8kS
kLwgGI0TED6kMcu8qMXKchBFJrzxGgMB7CqkDwJV5KeWyHFqIgosspShSl66DptmTta9+uqVTp1+
91LRfZ8Jhl5Lv7KzCsxRRSh2dp+soi/kRs5rzZCYZWrhjScy3bOjXQ40MU6bhXEw50N6SKRXmts2
z+6FqNqtnsA2CuNsul0raX/lTHBbqqzazPSrWDiFOLppVhFEry87ksAzlk/xLds2dentQZJUrOXG
JlkDTchI6aOj6/aOZMbB1Q6M1A0x4eiQvHNztg6F0tvd4i3de2XU+YfRN8LceVlnA35qltjv3dDN
ffbbremXnHSE9vUkkJgMg9IiScVelsOXOEVMFiyVtJjspBzQFafbl6iV+jXLnGIHs027Gk1Zbhxe
7pzbZk3cg1D3JVveq3jK3PRWitAB2eVS62Xk0FwbImogjhjduEHSXB5G0nFvEog9hk9uuzyha1uO
ZbjoDHz0eZMN8TvvMd25BDjuhjy6seMOkNQg7RPDGIylKgu/xG3s7TCPMlVNTbnNGuq+QTj1E3q7
G6t0rPv1zr4NRadvHN0EzdaI88KWxo8TqE+uWVu4r2oDjrlZ698rMeu3lZVFr0yxcCo1EnMbm6Z9
x9nvz4kdXaXpmF3hdAjJOV+JW3CjrthNew+R1CwfWYZxIp3weTH029JMm4BRvH1iV2Od6qTR9gCD
JvJ6CF/1U7JXTiy4jLfCmpUi92ep2LbkunmxMVCxSOvM7xoEuyLouRq7bEn7AxywD/oXL2iTEACU
NsyUxNloy4fanFQcGM5YfUh3jh6tlMLShwBl/doXoFBKEN/8HbV2wAyJFw9DN/v0MYf8ZlfHTDXQ
X0DXbLFXqp1ZRu5eWTYBOqSLu/4AMXEHOFpwow99ci28eHjsYxDJOdfnkWEws+q0urjGfPJIzgys
LPT2GpGVIHnMxjm6DNhJ8ZW5+1XZZXzn5W4CFrQqv5Ly4G1ynVUT5CCgitu5kro/64I48/RCooN7
mM1RUUjO1oPQkDuwkZkNgBlmGEz98uTqKT58xRraZ1QMTAqluV8NuvmlyiOocfGgbdQkZAoqyrbe
4Hx4GxME2KVSsMql004vWdyRWG+m1TqxzVDBO+pDUwg9RsPsv0fZpAUwy5dtlccdukvDfDUQtd4u
IvFuR/LP7+bSqnYij/o7o23ra2hb+oMj2P4EoOCyZldVXbTtqkZ/R43XbqQaqguUSNiA8xSbeIUH
zZeij76rhQDxciydN9PoF42+EH7ZwiMniCFi2D76mmlTEnBycCfihRzUOWejIRmEb6S5k5EwnqLG
q6/dyYqPldfWd42Ix02P4YEr68UzS0vWItYYkTfQQJXfdPqcI0cUXRGEimWKEKNxWNp5HgJ0it9o
eqnkaYJ9LOzVGV47ET1m056wO0/3OYkBw5x5Z3QBVuI7cxKHpNNq2Zn1D1k0RpN+ybuR+N4ur89O
7c4P+iQ6zJfQ1i/SU/1+dHt1qFSYEGIQSnJdSWS+bcc6eym8qnmJ3LK9K4c8JHM3TK4Hhfsyntzl
SbRy3sZ6lV7N7Thvw7lviIEuUbtIPm0VsF/V+0OZLyMVsjM8wYDQZz+RXbnREgt7pSWJWmbreNd0
TmRuHTesjuWkSWBw2TRfW+lcZNCHaMLdSppcx356lcqxGKDH9tWsijEO0iZcjiIR9ofB368FVVgm
d1igpsBOde9lXqxur8uFg94tdUS2XdQlO5vtxslJ6voxdEYyVTSEBJkPMT5BBMKyj9U4O9ua6Prg
P8Xx/6o4xifwt8Xxzbdf2/cu+2t1/NsP/V4de9YvJuNe+SOy5HeV3mfhjI1Ht90/Qkz+mGCZFMc4
IFxUfKsj6EeYif7vFMPkc/5UDLssOixC+oCAYLDgjfHff1C15+ag6UQdjydWiN4Yn5esRQmY+aZs
0rk8ARaQc10c8JXF33gAItnNkmx6tNgl0KH34UNeuOHil7z9cytS+9ZoO/ukkLeyIESjjtaWybNv
mK22Qyk+vMquKCBhOA0LcMMbWJG6yY2Bi4cnYxv1Pqp2Y0v+WhdYs2Xe9FFhQURFV6aPbnGXZXp5
10/TcPHANab+qpx4budpOq7+2MFndVG+6s0EXEKPNTThbuVd8tgtLq3RP9tENR861uVXjnCiO7ux
losu8vayusV3DJ/s2yXs1VabzP6Y1VSFaNOyABqs2spYEm2SZE3+OCSpenecogF1WIUstRbUww2n
+B22tfilKVjCMR1J640ZjcbOix2qP6uJL5ay0+2oo1GBjlGqU4so/+Q23VORJ4w9KEAdCggqygDR
4vJY9kMW6EL9minVInQbMx4C2picmqRMM7+sre4LUBNKgIbf4VPOavLGncZ4p/XxcmyLVagdU/Nv
8tF1VrEy3MI01JI7w+vSvZZHtxPTGwQ+imDe2EqDDlvhXp8qyom4HE7k1INyEgV0gR5uwgNPxmGX
IaYPejszbl1EbPvZaMqz0+jTiQfivHchfL6n0qyOqSf6B4hVOVlrmZZtS6PuszX7zT0UPJLOCJ31
XSOYz+NxLu/hc5oP/Sz7N5Y3+ffZ6PRHA1HJxqYBYi1paTdm4uA71/tXrlU9B40qPR65bvFqtsm4
E25dbkqe1dupzHDY6ESFaGg9vjZT192KvsZsoHoVgACEB5py46DK0jzvwzTToQ2algBCX1tMeBkq
j7OtpLq4LzsmgL7tNeT1hMWC1KMady7LThRe8n00Rvf60+wLrqK+kS1qmIH8M0rxBc1WF6mdEhoE
0ZHi91QvSODzqHb3HKH5t7SM0jvGpyX3VLTcZlZa18ASQ+3DrUyy9ULUMp7fTHaufBzHw3WZ2A5j
+Dg+JvSVPtiLlJlVbr0mJPy9tIoYQtvL9G2MmvOcODUjlKpuxvtWi5a3JqdZ8bW8VtdkkUeP5KRb
t24jkS7WiHdGp7xL9K6/GCO9YWaZPRjBcckokQRrauLckLXHMEU2dtc7qFUnEkBYrtoc0mkaHsiB
JY9n5nD23UbIBZ5HQ5eLdqV45jFSU9fky76MGn07DoXFnr3Wz6R9ldMVuN06oNxytyizWEBHRXTb
xtLY2I1tfsmTVQ7Ad1u9dGEMYFG5w/xg25kZBeg+Nfi1It5TXxbHgUVQySQc9mMwao017oj/0cFs
4FoNNJbBxY2WudGzI8oGBrJNwmIgmybkSZLUy2Ypqq85Mum1Ri3U2VycglM+sxIS2OZRe47GDvVc
inM5ZGQQKRyFIgWSmQKR3TGvXABWurW6N3JdvLRdWA4B6pS2bna5XVm6OgtsyIr9shkxLzd2VCZR
4QXRNNtuRKYcNL+HEL3TbD9FTlH3l96Mh3FfrSbi8rjURqctQe+mhao3EvHk9NCmKnI/ZES/WEKo
zvXJeiqQ5DfO1q1xN++0YejTrzNjDpGBiBZty8HF5Oc/66x/WmetFrS/G5KtoWX796Lu4qT99qNk
/9O8xr947/r/9381R//FFqyeMByi2v+vMZljkFmGxx4OxWobx+L/55iM8oHpFbhsoAZUEetw648x
mcFyzOKPrwsoJlu6+e9UBj9rElwqDZMhHvI73gUlyV/rAqnZKmpcZwFBwZzIXOjgDDt6/uGi/Dd6
hJ9X0p8vgoUQCz6f81+s3H01EvPkuSRJZTiZlNMt0GBGJyBdqv9tnvsXbNuPrDPKtJ82cxDsuSzY
qgmCs342cFdw2ps0IrhLjQm0mDxhkGCAiCF+ofBzZOb7QrR44RYG8QzUq394+X+5nMSQYcvw2AoK
fmk/ax+MfGGHYRvNPi2nR6NwXlyUXH9/MX8WFLjrS6xRdigLOFc/d5M/VHJtq82DHopmb4npEfrT
M0OZKhgY3jJea779/Yvhs/75gqIhQU7BqBZnJDPddcr6w8sB6kX8xyhgLyezOUZZIaDzelpxzCwe
xvkon5DuQvEF67YSfc0qLXDLeoCEik/qL5UTfR66d4yFMMgPwHIQcyIa9BoO4JUczPMWirDRCLAy
BWzhlqLyYKSF+auRTlc8j/vvpXRZhbS9bjzP0PQCbfbIP8q00ryJm4H2nJTWDThS9TwzQDwxd5ki
36TKorlrvOLRtvLoJZmdCoF2a96HUWXdWn2ZXWyLmfAoW3KXoj66GUZS4Hlch5sVQIzXGXEbQfTL
gQPlPKTauDOL4rt08kuVyA/mjfcEYBZMHN3iiNDvSzSyRvJWhRk9WuEXJOttWBg2V1mzcuFLlsRd
On1jCNUcnDS+rcm/YVDH0E8aJOhSkdk3SlGKepodHo3IfHY0ER5T4ktZFTs1OKDxG+2yB5IeDd0s
0vRm8ZrosbdlHrBwDHRvjEAxsQpTUzjulyQPtynwnjPDyWBgtQVBf56urYhw0y0TgZ6gwGmOvANH
zqBIlnO8x8aB6BDTngSGi0+wBvCmQz0UzDVL1bb2kywd7SXOxva2rAR/j4sP97ESGQNUxFt7FDFU
0MhSC36rVnwdFk17rnLd2hpIpXfF5HGLFE161+ATwhtQiu04D8ZuTHL9mb0o1N6Rwa0WJ8bwNpDx
Sr2lz+IEUyx6TGLmKmUC0jjElbCJGxtO8ZSsPCGA2acwjNv7emEGULTdKfRm861Z3P5RDma2b7RY
nIUy7X1Rci80UON2pDerK2Ib32ImX0zfkyFi92yqvewS716H3HxFAEd7XiKtultR7kY3zGfcCjVC
7TrXdyzzm7fKtqgzE5ucU6Gs5Kr15HCdhNDtQe7Yd4nT7cIQQ5Ef9g6qfRF9SYcsPvBjL8gwj7II
G7LFp/t6zp4YKdM3jCk466Icr/uONi2JR6ZMQzTdA2MTV8aaFyxw4u/nopcHvA2kCX8GC+uRVd0W
M+cGdzQ7GOBtkX5vhs383q3JxBDd6PaiVEP9RG6xqbx4Y+eUTZu0wEyTkUa2afSGV4swQPF90TQz
qNY05HDNRVZrQjJ5aCWiHUI0ojCcrhVTwABnAjMMj3RlSumQ736h+UQX0TSFA52BRR6ziR/ouBix
OLGsdHfhGnyAUyylbyBw3HbidzM0XzxBynPU9/olWZOfjdH84vB71dw8emBNLX06Or7byXLsZTUE
45ohjYyo34RrrnTjwktDdH3Wuqa+Z9qSb/DmfgVh1rmsFbMZyWk0HkINnYDQ9HtFgHW/Jlmn2gCD
zKunqwWKO2Iku3lqURYUPJ4mbYMcmywHozLfuzUlu1rzsju1I3XCfLSselWsZ215KJ2xuxu02nzn
ue0ekjV9WxcxrcZab8fxgM3MIu78JvyM7DZD0rsr4eYnHkjLQQCw86nf39o17dtYc78nhkwBmCiD
sVuMzqm8ijkA/GJkfs8eF+NOXojypivcQz4aT1kR674RijKI3PZItAADQRYwmzAjizwilDxc08kX
YsqdwcCmpcv6V4QJ421Nu+6RNcF3j0eCfZusaedwUPKDvSagmy7lcTUt02tFp8wsvOWVdY8kceLM
+QL5WqnWZYiWvwjIF8ypFnmPGdzewIITgUB02/mVlZtXzprPTkQpaebKVl+LNb09W3Pc0U8QIOGk
zxZpAvvZS4h7x7FEDLBUJFDDa9nmay78sCbE52YyNTjCyLUuOlfbE8VqB03jfOBWZLYwkpGwIfk0
Pbip6zwStimusA4X29aQc+CMM159tA9btjzxHiEFtkA1WHurJ9feTgTkcS2KvrjWFog2Sc9zzOUf
Y/UkeHJtDOm5dN5z/mgC9QssHa+Cr/WZ8YC0fGtj1nrp50x+USN5F5jQlpeuNDeoPabET+u2vRlE
3e+yIuXOm510L8HVseXnJuPw/I4s2GBT0GY7Owq7A+fjdBhTk2fGbwD8Xnzi8I0Vjf951P+nyP+n
It9h1fxDVfQvltxLXH399n8OXf5efv1Ljf/bD/5R44tfEHQbzD3QoBm/FfO/D/wc8QtjAsSwf2CI
f1Cs8RNodO0/e4M/qnz+OkZ261qdcu/fqfDNT1bLX9RqKI5NVKG8B94XGJ+/lnBNGw1t4XkV+xXW
FukcVw9eZvRIr8kT2iaG9ToV43hmiscdOtSvOca0gz45N4hFc/RJS0xMeyeLe28syrt80J+JlQcv
X+cN9neJvncZsOi3AryWnDVnl8J28F2cZzXBkb6hBJCAqX0H4Xm2p/yMtukq7Otw07eWFwwTHvN8
HFzApsn3QR+SmwKcc9A4NXSJknwoXXNhbFoGkwh9ua48/c4WHYE67fTO4wiYctaS2TQzdeqJgVmz
FQrMMFtwbDcc5FewDuqgJl3Iy8rzJMZLqKwYWdiwk5AM2KLdyXS+1iP+FJ4uX8XJO3q6alM1y4fV
E6k5ig+yJ16bucMYCKivLWLzJWzkPmld25905gVVtw5HNfdG9OZrNubvDnCJnR5NFx3vwHoFevRg
G77r39Ma/nLHQnVnrikuJkkyHNVOjFR5fIzM6eKWyg4o/KNDm3sfaOEIq4rlPopYkHMEHZaV16pN
HRdG1wNpJUcjHoxAZerRjufLVMvX2MyOkcrf2yaFRG/dOLG5qq5lt5V8oDUtp+rnO5nzu5rNnliv
mgwVucYBY8FRfVz4LPAxslVcKCNu2V1aANURxMU4LYiQGrQV/EWIyzbS1msZF++DgN6mz6BDe7RB
wfpaNZFB/5+9M1muG8my7a+UvTnCADgax6AmaG7HnqKoZgJTE0Lft46vrwUqol6IESlVzjPNIjNS
InkvLxyO4+fsvXYE4ON+GfT70aQHlG5XL6k32qxftS4O1blIv4mSL7ON7KYo1iv0k/aJZi5OScgO
zJHVM61aHnOjU1IpCy0sBl5oRvCPbNLarntABo0ClmIRypTa61Ol2+Gq6iWo056qoCGaYIYLCOyY
jtsGhDLBj5r22W3Rue+zVf8sO3HnUUEGDtYGZY4nkL79qVvnp62zT5hMRxaqOCUV14hoZGJeRh6+
07RdOY1Ko4UeGd1GQ1w8l5WwbiPoeThZfjvoz3VifPHEQn7s2tf+yNDccOenrp+erLX8Vuk5DWSn
QT1RrU8iNlLqT6KHCNRiiOdoaQAjhqzl/XM3aucWGNz7pqvzAzKa2xY+3GHcv4/f009Xl6UonPeZ
26uTAzLWRyx125oaVNIYpSnHDRX2e64I7MImLFf4p6qz7EB543zq9liSDp32eaANfF5njcdyqsqo
A8F2V2utOuhpOV+qtBsCUyvFl5GgEzX3zrUhC3JzfJAlGNuxs7d5iAtWhG6xLZ9it6FcoUFW7ujv
rn7GgvFcrRo6OZK/PeJ/yJLG5Hlr1cXHXpD9XKxltKYIvzaRhe2oEJNbawqohXxF5gBrj5yhwW3v
uN1tqaX3dcNYjincc6NxTBgm26b1aH9aa9V/qcEZc1fmaQTOje4qKeHt5jmHKiPSyFRNfG+MqFWS
muW/5eaXhi6BP3QVKbezHjiraRyw3HLdFLfAxBTEx2qqY+yy5B3th+m44j31sZW/dzXndjK75RzP
/TespVeWU/wipe/v5/79zC8RL6Njtv+WyZDljjXluJNP1p7OJ6aOYDW53mZ2d7MRuOX/5RH3f2nZ
7Jw/HmiCPgoAvtddBuSQU+0otz4l3Ooh1e3FxP+EXoEN/eev9NqsQmjjrtByeTEw/ozFfnw6La67
ipw8ZvBJxSdvPzLt23HOzD4Qgz80Z/5NP/z8Nf/WJdpfU5rABUkV2P/3x9dMRI29jd4tCkU7jexh
fmpWbmxNWKdlD3Laf9+yRNAxsLv9/KUFsrgfO1T7a3sIscjVQP312gWEhGfBoSTrEzmgULqbSt6r
mOB2tourvMmLE0ljX5ZhnQ/FgkgsnwfuWwRCzFTUl5T+XFJvVxPuDcxh9snbEwEZbESmXK4WAqF9
wDxtUFis1Sa/wel4qCC+Y9561u20whkJo0Kic1sb0qlsrJwfEsR4Acxw9YtG1d+6fvyiAEdMxpiG
bpvmqwtrlplXNaZVn1ITynOj32MgvK828mJ+/om+ELl+rG/2F6IZBgiECcxrli5Mebnyl6xVr4T9
CuxIGZkV6cj0kZV6eThI/HsJUY/4AEFu6RW0Zp6h1pZ862b25b1UIbO78FGGXSUaWh1cO08gjG9F
Px9TyXZvtxkWlYRBfrea6/vENtWxSsw2WjOFykDvYfoU6/O6h95NZmZdxkxW0eLAhbXq7Fuc2dhO
C4KK+lU2Rzji3+LmxWt+2EY0twQEnlJln9K0zoIEQziHm/WqcPGomdN276odTG3yszkUfuxt8sVd
GCG/+CD/YYcRNPloXu5g5L/BPWGTNZ2lifqEx++lnFjZ2ezWhHCwiNPPLxoV9t/uAuKnYdruzWH7
NVGyNxVmcEvVJ7uYH2m1XKrmVxvmy530al24DrBKeHJw8pCA/niX0ykqxlLX61Pjze1hyFYzgID8
Zd/ps02o49jHl8IkdUIzb5fYSyMC1y/aGr8b8vyzdFAFmdXc+7LMxYl5Cw9Zj92pVdUN1odvoBkQ
gQA5P5XC2RjpgSKY9G24LjMnmmX7VmI18J1Bwl1RGQdlm7oFliSdPK9rD2ZPWpTwOvM4rbg3dDP7
BpC78IkvuJnXgvZqogLp5BSoBmJum7YrmUdZMOvjY1ObaWSJ7eoX1+Qf7liuBQRlxh5YwF5bx/bR
7dqoqj4ZJQeFOYUUlTGb9k2t4HdO+QQyyq2wVPK2shG3x0OP+s6o7qCGPMu4qCMMC9NhiTey4Ryj
wSyiv8eyKkKpoy5HdnYbT64TELd1m+KRAVrDTkSAQBO6uXpGRfllG3RyMbI3q6A69Dp+4V5bj0Wq
PysKMb+N0/YoyuVIp+YxsZ3Jz3vWp9Wy8Q0OrHls9nlYxQRMmqTkeW0/3/z8Q/qHm4Rnxv4fnESc
3swfF9WSdC4O+7k+LbIOKXFWIgh5OxZel7hNfnFFmBr8/T7ZRzxsa6gCoFa+2kQ7SyiBuK8+9SZo
HwMASSjj/BLzpPIMrs/WsCRBQBILYbJN5TkVYFLewAuAjQob2G9q+uUZbJPIw/nCRGQYMRjLz0NB
Q3WWd6UH0Qjndu6vdSNC0Q5fqnx7XEvsR+7+MGaZJaL4FC97lUocbr7pN3B1wnxtiPzMxgjLszyM
XNKX4+VmrSKEF2sGXo/WVRv5jhb0WhtPo19uY0rGHtC4/RAU12TqYtdHRjUtT9nIQVLigaI/xVHP
3panHvYkcRboAMX8BDjontSAC0JEAjvdKcx269X+L1rFn8TzviDbCYWABSNmv42G1b5t3OXJSfYD
hF1o3E/kYpYd1ZIe5zdrR7vLbfnqHgdFl9vcYmPcXXv2+qUfx3CZdlRamd3gSqyAF1KKW6X1Pk/n
R5BPTiAa+0QOyoVe7eUl27cnRcAfx/LCofhYxTxZIJ6wMLk7nGW8KQ37Y8pI/VIY9i0AnlCYvQJ+
vzCOAhy90GO8QsdzW47We7MnIfMXK/cfbm9qHWZHSONZUX9jbiv0pRiiq9Pgqi9IHh4HnefezDEr
Jmsw3Ouvl6N2M3okEXtUei/3fJ2OB7UMi49S6EuNtSOk/5tHXuGFcu6FS7huAoPPlHUEwU6dSoM8
wRl2JiGZVhbR3Eu+EHDk3bQ9zeYt4bkIApEUPvbyYHMRTmvsMfmonmdBuaX3og0cnXD5NUFJUkoq
64SDIc/DVDRcEGTBDE+Qk87soMh9HnvJkdSbypt5mh4te2dclTg8s56hULdsV1W6PAE+kGFlaBsi
B/UFNHZ76Bm+u5wOTkXm3M48RDhkTk8Cjc9ezY/un8/X/3TYftVhE+iP/7JW/9Zhu236Mf2v8FPR
jCgTvoP0zl//+/+Z37/xT0kdnDpiwZCxOcTDWfiN/3eS/iKps7CiUG3KV5P0F8OJgyvagdFM1f0X
w4n9G+dyGmJ8GzZ5nSH7v+EKtdwfTxX71BfPtcNYEfiXpCB99WigL9wOJKaa1xs2r2Q7ZkOiRkaJ
pu5XarjRRvigbcXjw5+lnXMgZW/9oHE0ZtCWGadhbrXrmP5gpDqtOiQKGo0Lk/imSaihezFdZLeA
zio956qZau0N9FNmsXXCLCeTu0Gict5QeKxvc24IemcNIySj7Rq/GhCWO5gXwKtQQ5okHtWY9GJQ
Tx0yF943Glk74UZIbxxR9RfTszgDd/HDsnV3K88cVAr67nYxTt0ATJKGJnEppXMxLIYLQCzCNOm+
TkykwylvB7hlfR70olY3cZ8QgjVyaJ71L6kG2Y8MNS2K85xei75tRzRH5Hsl5pGg7fqdp+Y8Glqs
kVtpReXa3/WFsiLIuOMnbnVxKN1KBq3dMpOoHF6/QmHOJ2WFYy29kwJw9+gmacOtbmyntjA9kunV
rkpv5xM9t7teeTqj1GKL0NsYuEbpNFl6K1AG2yJMMjT5C7odoIXlcCky9yY1PNQDonr09IqUwdg9
ehWhrRaPxrg0cccwvQ2wQ+ihGetHDUdEYKfq2R5nFcz4FCIE4jSQEJ9TN01J0NuawyRj+lwNzK3X
lcExsJirlv0+EBhTXthUWdke7K2rQ/B/mp/Zrut3tnPyYu8yMucLZIH5N9ti7VmJrPEFph/U4mjn
xbSuB9NKPAaIlTqbTZo/uTl2Guzuc+i6SweIxbAPqIxUOKy6FdZ4jyEIJsd1cnCp4NOJPFLl27W1
rjpNnoEtAlK1RQceEIaGKJNjKiaXeUTbhSXKrCLvnprBeZbrdp2bCyye2bEOWp3pkaFv6dFtq08b
cPSciJhjDpohWBj5RkyPtEtner9b2x5wO3t2yJrYZzW+s7AkZJ88eMRfHKaE046Z0HctkjEA07UF
1lDqPq2bc4fP+qMiOJnR0XC1asXnTVkr/SMJ3iXL8WfXPLm3rWYOWrIW0FN2oZu0MGppdaL1VGtA
zkwXFkb/XhtGNAUuHmdU4TPmWtUdmc1ZUUNn/eDkVX+IRf6WejO5qXVChIT8vAdeg0gH2gVbTnuC
mUs1Bc4XxGOZZY/VDO+LSBsd80aqji2enCcEodisXa943BBchMOw3QxjXx6w9CwRAnvnsBWIG2xT
d6N6JeB9NDX9Hj7UFuko9SJjkGkw2YUZ4nJiZunmztkw+zhgyDmfTABMoz1Dk9R0KiPsoG+hEPMp
ylgwusrdwAFJAVPsBf3E43Swc/0t0cS6P2qGw53bbQegWS4PVGxbOBLqN4Um1D2llX4xxmGxfc/B
ThYsWpFGTisJZRsranp4epFQQ3HgrU7XLtoMvlDjKZ+Vx6YgAsgqPmfMxBCoyvI8d4j8Jjlrobvx
ebbbYJ/ctKTDJ/RvYBlId1hg6+8qYT93xje6zM5TPTsXSbCYb/X2oxPnXbRADY1Sb6V/RxxGaFkr
RvjO+4Lt5THDqxUbEwMLYLY6OQFHlWm/V9amDmVPb2d0gZHy9YNbHxdHKQK86prgY60P0A60oYqZ
UqYA0X3Dyj51hLH7idzeDEzDT+4eB1FyPmdCO40BB2oVmWSbh32NckFPnP5Gme5hqsxPXrebY7Nc
BDPy1jexmSYBA45oUhojVCPHH9L9Pg+AUvHxx7d2nzMzLvF44bvCBl+ac1Ts2G81Fm3IAFKeUohk
TWl+dJzhOk+s/DzY67NcCKtyMa+Rcyyc80SSxZPnze9IflxIbHZ/d1JM2nOMkmRJSviV05Vrjf1t
K81L1iBWsZumvCmpgmq9vy9TktKxF8sg7rpvfT/pNN/pKdnb1BwtC71ujAw06paxvFYkdRzhmUnU
P5h4cAD7g0g/ekp6T4xlThCCjKvNYd45m6o7jLKcw1XyivW2PXWzld0P+Btyg4fQqsUrQXOMjGF6
l4eebq6vV/ablsF26IxddqW64Zz0CDtxVNJYHieCCVMeL6DMnA9lsb5f4mk6ucr92kzm7NPnSenH
jJTY9aodkjq2A8hKRCeX8z0jHyTVDM1448tN2w1xMNo0z6r4sck3usrIQ8iDZtqAuuZspNq7Ce+8
3+H+E3jA2Aun6SyJ6mCvyRhBxbFzYv/NLikyoGOiscstUkN2A0SALoKJBZSW3SFxF3HANySC1WqN
Y+Lm75Y5s9GvyCc1DldD0fV+qyXfhNa6l7IuYwhkJRzP1jEOIPBlZICVvMgWeGoD3JLWdRMfAAJy
mJIKZfPn0hnq8S3pTnBiWbManPbTSrak1eJyQSq/PI/xzDgDOwokemj+rL5K3jHk8RYks6lZ7DcZ
Si57EKfObDJclW4LjPutmJZaoEdRgCWRs9pDw+5N02Jrlwyluhnbj8KqQNOREbjWG2HzYh5cL8gb
+kC2X3Oa0lKi8tp+6/vvJ/P/lNe/Lq/3tsG/tnJ/L6+DT31TZq8c3dij+dY/R9j2b/R8HFrSzi5L
pdb+3wJb4s1mto3lyUAISGFKFf2HaUVQlqNJJPwI7JPJt/FdfwyxhfiNLyWf1wQD9d0i/m8U2Mg3
XzVDPKSI9M6haIGEoW7fW+t/0SK6u+mwL/E0QJSEc2B4RQpzfuBAGJpzjwB/nFu98Wk2pUQbmiqx
zrVZk83ubAPmKHNxdqvitlZF1NhN0uGNaIyFm41TvA5tTgxfoUvIa4wy1rnFmnqLZsU6j9aEw0KZ
6LzKFrLtnBnoeJa8hFhalBwTsdTIa+Jjmw81wLgPrb7BQJqh3LU+4jZ5baSIbep+ZynRrq/3mt1x
qM9N2R5NYCx9NBQ7Nul7GkCBaeHe7EbveULSTgptu2Nox0Gujy9Y4ioz1sc+N8U5LvbgBzrFLox+
s6aR0hCQKS/EawxfB6lTTsFiRZK2R/4a9d7zbmFf36ty3YG3EzIZv/UsRsOUDYSYGMJ4YhpEWOye
GNA02nQScyrebgstm1rAURqEjq3ZqQbjNjH31OLWJeA1f4kQ5VSx+5q9fMDhiqH4a97vhN7vsZjY
+T6gQtNnfxU9XwZoi8SSxrY/qYTvYwLOG+D8sPNDS15NF8Tk5jF8mmCCWUsj1Vv5ra09fEUWAipy
rvO7e6UNLHiiDIAMmVVkg7ogPQotv5akG/j9kq03eZzNZ9F4xZnoYL7ne9gfI9Id4EwuqBOyrvmE
v19QaGxEZyQZ0Gdz2q8w0sT1nks6DO8ZnGJ+X9qYAJKVpIcqhK5YZA8aU8zWb1TOT2mBjwANHhgf
BQQc8JEvxCDyJAIKyzmEUFaeQBrhwMduZDLDGQXN1rveGQgLKKtNa9ABbN9SDlWgyebae+bx+jhS
Hh1UnToWTO8sxi085A8uYFHLL9eOFqpRwTcDrvJhTUkYbeyKhV6sTPMPgGH4SVu8k1ndFFcQ78T2
nrHhEKCM6ghx7jizGvBzcWU9MYLkfUkZ5oQLOY0QypGMwGRg8XFUTcOYrgvPiKUdv8KhJ6RDH4k8
TpeOm9D1Vi4w5xCeTN/RyAWNPrC0uQcEuvBKAN4zSxTTKLflddOCajq5ODfOWo5zFm+r4H1n2wS1
uiri9VHoPLH9ekGB71PKkckBdyaJah46CQQg1okiU+TDtF8iKUZxrmyYY9KAhhpg6syOTB4IS2UC
c1TzzOnbMtoPUAvj55clnGkE7KoCqHOz3+y75/RD7BAQvUA6mILFJL3nJf+o2kzmOCnWqsMLJV6Y
Hh/cSK6CCNpSsmAml4zbsnb445dbYirb7Ai6hQ9PpXSkOp2NIzOy7sMGCO7U2e1e0UyO8WQtTfys
5fqsMQLMiXLIO84sJTnUpY/AACEAKtxjmdrLjM614tfRSfn4ntW8+8G4H3SdBcbgBl1JAfAuindC
+YzC58gRmx0Egbcgz7PxAOaW3vXW7Qi88SU7ECIawLVSk70MJndIxX3+kiOj9aAOopF05VAnAulE
toZOtBGp4TZJ6KHAs90z8y/4fQUz+eWwDWpKd/AVd5jZ47D3N8GOVZnNkj6qYQWvkcPxzhSAbIF9
/bHw2J5lXYCVr4ySn/NCGS8KBpv5SJKujsj9abTbiU+wstbHloWeoUYpug8FqFra30OCjAiUnrun
6jrFzkGXad5TohOaZJ3WiS1SQBa6XouCFaV5JheqBCLzFNN5aC9J45KyLIBUphdcVtkRYk52nFAF
ES69cJXKbA/ayoj1iwxy2AQDd4sFThQQl7UfYCvqpD8iYKjB23cMap5yhjywCCAxYVHSG9aLMYDM
e8m+XLw9e6XaaXPZHrFcVWhGkd2inohmjkrciUbZKNAYPT+eE+/wFag2gYKoWu6x9Rj0Jkko6DPb
yK+YePSnCdBix3yXNW+ZuJgDnXpYBGa3r38GLcbtlM3es20bZBGiG+Ml5sXoRoAfNph2PRvY3/ph
lGGZin09ejuKve2k9wzQlAv5fUsjVz2rQlKzWEp2LPvpnANSggZAmdvj4dSMe8vh7irLAnUprfxY
B9R5eLnjqllazwtcaiaKnd2nh5edlZBOwzkuqeyejUzU9fOCuql4Z+PCzMAy7buUMS/Z0dp5+t4e
65lPXfVg7DonmdRf63T1zn3b7g+DTt8fznHCDuyVGzF5m81GhsWLO1g2sjVQdKW1kd6ZKlUnth8U
V6GRTJQQMDARsBOwvnlXVT0AqzbdeAX/i/S7fNhy3Ht6VroyIEI8eeZRStLTaFdcolrfMYWA2W6J
bqr6MGWLaRiTmrgrMbs7X5u6em4So7948Trpi68walOHiP4J8ci58fYH0bDHWWBQbK94xsh7HHh6
zL1L8EXfgWnrDGO8tTngXg3gLOh8EJWRuR2pGfRkPnajGWlm010Pe7QGh9lAd3PuAX/6ji4doZgO
6dReubmHWndPn28Czxvf1Zg7WwTjB81xvfvWmv0cPmr8QkpVTsnBgy5hheMPGEnFrgq2hWGHg9pA
hxDT6i0SWMfc6sAdADz4TmfljPDM6mQYXZJimG9lwFkfyHFtzh5H0u2gT+tysfO0KAJsewqbcI2Y
/KAcVbonj2XZBwnKHWDMbupdjcLa7uQ6upch93jMZSsG3FVj+lctxlvLmJsbDeP+XbYV8uKaMavX
IIjdSSVIFJm3jBDala5B4U5XPW3HG5funPAHzV4/lVaTv4WS/ZZOSFdeE9RgPYDjYnBJZ4MUgq33
DnIW8zfged7nVI4IkxfP9DcWWdTZbhbKXgFA1nIMtDOsYEXzI6pkC0rDsjgJTeRM3cg+zdUNn5fz
NR9lfdgmjMqqpCOWZMtbz8vbA63F/ujGy0fyS3YSrPs56Vb1mNqqDo0Sq6Eo4MObo90/DBDTKX9q
J7LXav0Cp+dJy12akhheb2SWbg/VpuygcafqQBq3dYy9GdeGhwQi6YanzpvwuPQOlVE0VF1zQwoT
WxTRZoG9QEdPqBsuU9UbFxiF2sn2muFceJN13YhNx1C51hA/O/vNSqyLv3adjDQPlV/OjoWrqiru
cZDjOJEXbSuMOx4CeyNlrg+cO51ziabrIWlEIGp0BaY29EesjdSsqqUJkHgT838uGDm22ocB61aI
QtoDuGKTOlCZNHVr/bHod5Y1dOa35mpq16pCd+pr0uX7FmrXz+NcMleKkUdcxrXujhDPm/c55Tvl
3VSRHp5XZvFEh0yeOHlrt7rT6fToDDcspHWYXFsdyKOv4Jq47icm3e9XrQMoiJoVn1LfD/vp22pg
qy8MI7dxOupxkQa2LDCAQIsKN8xFxzhJx/Nc219b4qQiczTIR2/1ct+tjLMCTPMp7nU6pnEzrO+t
BhoiXDYqwUyvQ1XoRTTis3qKO3YUdv4eWW5jZKSwm+5JHwAyVSnWk8FEcG8TrLFc49HHSNKKKfcm
NhI82l042vrjvBSlESV22Stq8W5b88csNvDoGnm1o5K2YU6+svknB5jtXbhJowUXNNeAzNMY01aD
Q/44OqnGxtRnzkkW0/KsIUqXPPZi0/Ezct/CfXQGabKLOOk3N9nAfZGBBXpuHVp7m6NSxLmqOGzb
uEVoAPi/uQvHAs/s2yVZGZzTUG8s7ZJhv5pNNlJSzL94nkiuk666TedxeKel3nQFzIVRNsB9Hl7x
m2oy9ffeMjg96ksvxrrfdSp7Nzi0Js9V4XjjReuMzZxO7FoePn9EcgtWXo3KKeHgFt/Fo7dQze4p
Lrh0Gvkh7ko2daYRS6vYvpVOs9+Gw4JRgTyTzQ7M0tJ0P6GbuiQBrvRJfACww1PXnHKFTDeTIjlg
Rbarq07v+XM8KpsR6nZF1sncm14f2QwZovQlFbheBgoRZ7Z4NmVdW6qLbmyQBfcIHGrRMqi6hbLc
06jP/nLi/wc934su4a9iGM9gSsA/2Op1HezBq+HU7DHbELhoTjWtH4Dhap2Y+ztoN31U2DaRe8Rb
RM46dJ8qq1CP3cgpsyPV/ikDFP1Y1d13uMi/dGoar4VwnoEITliCWfQ+PnqtpNDsTtsmdnw40QTX
+Q5W1MeRZsLzwOF88CVDHw6DJvG2FqjncztTGdZLQ9yL0bOZBsPQ7tUzJenPP6q/KfT2N4YyiTa2
NF7Gja/aDLPe9lXfpafWgY9DkUDVPCEJW3oXtUcmhvoNDDJpnVVDwREiVRmKy2yZ8+NkzR49Y/TG
z8BjOOdgmqSiMUYOIC9Y5cTaKLyyBKFwGTd79bWf0mtPJ9ZOq2LOuYXbr9ONYmL69ftxAhPR+jiR
ycOYTLUEkMZ7Msqcb8ypeQJ/QgbBLH1D41b4ZDlQu/7843itz6TpwrRVmrReTJcGzP73f2m64Bks
Ud5k+SluwIeGVdOI9d1mbdPw3lIbsU9W5VHHNjXuISTIMNh/Ecn5D0sXirlh8UZcxrTIXX58B0uK
lGgzx+Rkr+Bj/bgeEsKqPCM2d/hpmnBMidsj2UApCRptvNVR6wzxbVKPxpPUJ+MWTyHnkX/7Y8Gl
JmydAx/W2Nf3Uy2mmOGalZxqjUNDt1I3ogVsOM3s7qNghHJXIZghhzLU5qT98PNXf50dvX8YvLyz
/7MPrq1XuqBauQXjkI3PRBEDfsqNTmFDGjpZ5VwQpIQa569FiqfCjbWzsR/casQr+dVsda15Zzlq
Lgj/JCAwPY1776Xtkjr/NsSATmnx8oj++Rs2X/uIualc07UcYMO0ENGY/XgRU0ODAT+72lGkNnug
2WxkRMppP+rUK/cAG793rUwmQm9qc9uT2aqUxa2yaXuzejS03ySC0Vdgb2giSSfjX7nl+G+ysFQS
vbSHhLkD3Zce/8n1tExEsjYJHbAAA8icRMlMINOmKl7dNmGogBxRTHgkB4KvL7/sfzrRv+pEW7bz
0070Xf87R6ofJB7fv+WPDvQODmVxeDyeAB8gpWCV/ElNMi3kH+IlPMGTqDlQX/yJTXJ+48Th8X0u
nv8Xv9SfHWjL+A2lHrcn94nF6iP28N/oQEOWZZX+5SmKboNIYNc2ue0RGiMo+XEVF8O0FcvkZfd5
4VFjkCumM3vsk8K58+LWsh4sp4M5j9m5Zloce/i7fIY7TlDE0DfXW+brBt0zuIP+MGaAbx9TxNjl
+s5m4Rd4Dmgd7O3o4pRstb7cj2Wnf630duEIiXkrI0nRSCUeT5DjnAoaRjVyPjaelURYM/JLldfG
N5HUtJE8NoPP2p6+hjg6ubiF1flNk3BjjfjXodrFx2RrtlB4pX5Hg4R4LUY70+R3tG/QFJZtD2hZ
WNpbV9c+o7BOw2p3y9c06GErztk527ac3oqVnd3Znj4unEwitBQoKvraSR97Vxbg4ppV3eOhjz04
mkvVR6LlN/YldgoZDfBqQk8nFagD+Z3MGTFTyeJ8zpZ5fDswLM5vbdK0Qjrp7l3W67jrFVhPegQO
J57RTdPUj73VI/NMp58FfWkc65Arod7HCuOGhh1+IkUsTt6g3Yk9n6E+TGfF2z8TiZReod+kHM8y
wwbpvOrnpBYzQskCM6pOxWwcXGphDsTgYd+RL8w5FQ4eCZDujOxvqBk2aDaEPkaGm7yTxeJOTAUt
lkS+ZWCr3DWFdZHbA4kqTumqDyP8RezgPSsrMIu5WkNiW9cwo66MBp2CAUZt+s3tUR2kCdLiIbPQ
0ybCCe0um4Cspu5Dh8SSWiAtEjwsY/NQOCh2gCDiyK0640GzvSWq58q5xJbLjLnvbefrAgE3RMgz
3SJe2tD2qKZKmQ0qTxqHDn/PNfBHzqx6Pelue8Edu8g28Ehwg+a8Hx2Yis4pgB+r2HP4tjozLF8X
NC+gNZMuRUVeDdY1ZjXELD7tFilRShuWsMKKWaJ4mIaEa7UZs/umams40q62eu1z2c8unIUG3KZK
PcwNvb63/NHFuAO5xckAYArJiHeNsz79WmFTAtFeuoWLLlBV2vUM5GjYfTDN7aDJ7Hqux/TKievl
k0naVesXw4Kcqq3RwqyJghLO9L7uEYM4enoiys1s6D9YpeGPhhpBx+LyH096X7mHOskyooIVcpO0
m1OEFkCOuLNjydFbtCobwz7fTe9tTGV6vcE86wBUW7jlU65m2M47i1avtR5tuFZ7yb1T03ALes6k
7s26VcttOdj6sadNgXoKwyIrztLmIHdbOhqam91qTOTnwxzHZcqhRHcovkq5vDehkR1HNA9wA/Th
cVtRXz9wyP+ibV7NPQVmeA0QmCn7dmwIKjiMXVqNh2RSzfs13i30klP607ZJk1l+3Pb1kT/cwwu1
ehxP7EQKK7O3NmfTZuYeZGVpOkfy1sxdd0mzXjRt/w3L1Vt7IjZTZPawvZkLc25PC2Tz5tzHag1l
qxlXYhh03Em5+WBRudd7klFeRXnCbmZPeg3ruMuP2yrkJSf8soBmqBHnsRp7ICJlNqnjbQ/SSMZD
VBpJTKIl16o5JDD4Q3OzxAPGNB0ox5SWIUYP86pxai8SMqcM07K9xW6lq/EEkitjyFOaXOfCSvLP
fefmn3J91N6Kvpw/DGSg9lEPnp57zVrnUMs3QVca9fIZ/RpDF87ZQwRQNumv+ALC4Axtbz4yTW0V
PTBJmXeBV2ybpI1art0i+FGlRYsDLRBoPAcQgu30CX6UuZ1PWtfvea7A1jCrM6xhztLULQ5YCSPt
yVBwPxgCvaOOc5DcDytFjUfi3smRi/vg2GRNoGhW4WimYEQ82oZMRGgHgnGIk2C3xD7W8WDdlpUJ
a73q3cq4WfqmueE47uRH2TXifTdiYllXGnSjk3GIMbK4pKKa9XGACJZzBKnayrjdlDE8VtiS+gCG
6Jo8wM2Pe5prVqk2daqEO7q0PC0oE/GFZtoiby1ZGIf/1FP/Fw4ldb1BhfGvJ/tvmgnh7D9N9v/4
1j8n+/I3mx+FYd3RDabnDNb/KKuIjKaiwYnDIZxT7/43f871yZlGawspBD6UZUKc+v9zfRO8uyQZ
EGcYsSoCmuS/UVXBLvqxqtrjqnVbpz4D04BR9rUFcMrMou7zrAHa5BpL5EHzwb5bZ94xheF2cGoc
EAEcPfngETRM+5gE7dvFwT0ww3yUIdpYRi9xJt45Q6ruicWt38yDE38EFcXsloNQS+tvs09tv59s
gBzZV9nua3SLmr1yWXmEhqO2AqkgaswT11Qo6S35JxgtS+BcMOe6sos6L0s2H9It9qiCG3slNiGv
vw3VxOzB9ZR1KLTBukuNfL0v0tgKtGadtUjvNHFhT6yJQnTsOg81kZrpmRg0VEyNgscLuKYNRpOt
daqEIKxEijN2A72O1rKbCTniTYVdFY+/8yoG2chWjUQqngA++7LtiAB0nVJ9H9uuMZ6/oMB4VoDf
WzAw6wiXI3q51beMC36yOeLxLLKZExpbFn/diCaE9kk3+V270VQMYt7ZO+t/2DuT7saNNIv+lT69
h09gDGDRG4IzJWoeNzjKlBLzGJh/fV8o7bIzq8pu97q88MaWKJJAIOJ9790HdPKpGER666UCH90Y
R1dDR9l1pdzyqlUgdE+w/0J7baHKsQuLKNcARpLpAc+xmo4KmqLdmzHl76pJXSAY60GQL3sGLF5W
MsobuomrVz103esgQ2JZEYIQ+jrAZc0WLhvKrXRzOntneRiprL5K9dq7tiGxRReJ5dl7xee37cva
u6Aio97NUbSooh6QvqjPOfPZRXnHSMK90ZjNEO8Di40lzYb/xXiVcAZTwJK2WZRn86jBkT+MnSyv
0qbmBDpT77FxZKKzqOOaQyTsLEIthq32s5a3vGcg6VTU1l8Ggh8vDVaOp0pMPPy9uSZNaYe2ete1
HNghBVxQmIfJuxnZwmCcsrw7wh3hzYgRJSQx0RDOtqHckHxXnEZZxNG9I214c5lv+Cl0yIuqMmW4
7SbBE39MinhPS2w7HzqaxaZdHHTahYGGOzCwljlzPgRWJHUwp+0hsikeWYVD1d1KziLpRWSODH1c
TTdXOpHqh4Iyocvou7zJzhWtE6j3Inw6nypoCIMHSVT7VSD9VEunT+W0XkRU7VNPBYaDtpp+6qyo
Fovo6krX3YbNpxgbEAFvj+2nSpt9KrZGpdBqbf5pVsUi6sog1O6mgboAIw0uZZ73J0rH1VOEGhws
snD2qRAn3+Vi47t4HOZCApRfRGXbFDG+AXRnsUjOwSI+i0WGbk2RHcBdD49xa8RrzYvKS4bsNR7z
9jZZpGys1oazovyYTuWUa+iR+p0QH98igdOgHOzKBq8aDUZmXvlikcvjRTgHVxpCgTEUanrB30DD
WIzK3ndGt57acTxpYMYPUMXt9eQVt+XsXrSJCg5JrysM9+V4HOKk20hIkRurZWtcl5AqNEt7x/e9
qXFt+qCid6OLQXSK2bhMVSvPzOTv8IJA+AqHHR2f9qPeNNMq6Ti2zVNXXg2uuKUQg0ajhgypphiM
hBZu6j4LMKGiZ25Rz3yV2MVJFJX6SCZ5FrMRvECcGfAI1tld4ZAKS/pS+VBscB2C476miYL2zUWv
HGJ8zJYzn+PaBY1jUZEURSrbTnrKoFXjp3SCtGCwm7JivjK/lIGEMZDJq7lqLmnXDvzKoEcTuFSz
qwNOyYmjicumCYYrR2Uu253yi8dqu+OI4W7iYAq2aKFULgW28imeq/dziW0563ttKSDQT1PGQLGT
4WsZG2od6pwOU8kUDehwSaKnbJ4AdA17kYftA0Hplgtj0HZhM37rGofqcEZ1m7ZBgO+pZ3w1U1vL
V5+9cE5i5QmDJkMcOoeYHYkDyz4VuJW2ngeeflWFTOerLrWOLo0L/qhp8qarIg+bJ4+mJFfxrrWt
nKvCmeV5UjXcUlQ3mnndOm5vOaAHj15tc8vaeYB/v4uAubn1l6Kkg3w1j3H6XDGE2uodKdQgNtxt
jplgV0Iof6mGQDx5TajhecPaVg7FfC7Y0GOQHRr2Zbl7Y/IfLgmkaFdYNR8lApvwdY/pb6hm50yf
jk6HwNim+tEek/DCS3OXltyCUUDWxp30U4O41apme7i2BiCpNsAtvzd082xCWVux5R05SXGY20lO
Rfj8ZXrUmjBjOhSiImid9thWQj1xxRX1Ou6G6iTMZvFtlzdQMsTZTNJi7cIvc7qMy8AatmI0lD8u
tBODed2qV5bGaUImHyb4mQ+GlIh2OBWwZ7QBRvQGGfNYkC82/WSqgdayNX4owaneRl5KcYDbhRsK
bt2LOjBeNa/7FsdF+OwYDsCqqRC+suyHwrI1RqIq9Q0z7Ve9ziBonurgIWys3UjPM23zX12jtnfU
W7QYqebe59z7PPWTt24zLN9SNm91DhWsN8UhpWZi0+hG9RECa1+liVauCR8l+96AZeMb5BMgewT6
dcYYa8PxNL0pdOdchG1xQTa+2+StAXbeQAvBqB01Q7VRej6flyQR4SH1TmvJPfwOtlLsL/AT66vB
7BnsYeNZg+WBr+ktiyv1A8tmpnb9ljjkauQpt4mKIH4z0vReMxzAM0MtXiNDIpLGrvxo9Oa26/Vv
wPrIXsTMNjX5UmCjWNc2RqIxFfLoTbS4VqKzqHmBeRcSopu97giIOWDtrKpND99v7YY97SvjlB/M
voIWjBkscfSHeJjSi4xrnmZxjMx6o8joJm3kwxfcNX1WHct2vLPmSG31OSpWWb8AC5P5HT+A5bdm
V95xzu/9WM181kFuTutsonLBhp+CI0LlW0oSKIHW3K9BaDxjRgheRG2bV+hVDNZc+6bWW64r+2tu
5DriVQehhlaPE4UV5amrjQ+ZDz77ApyTiBxrqi4qTJNq2LtVkKyURZF0XCME9K4T7dixyFtdm8J1
lA10ibN7vDIKGVw3tAI0fOmU3+DcEedoUjRmS9zeCegbVI6RkICe6GezSh7GtHLAEUUdlcm04K6k
UZS3XdSVfkKGUlLBYNMKTUBpdC+0Wjlr5cyPLU6lZbNZ68VVKdvQtwbvZFTlN7QQ3Np5too0cRUM
6mrO6A+LWkQHsgFJlb8CFMIursb7QXXXld5etVpxyW6NYZozE1FvMSNQ5EAlJ6xBGoW4zW36lXvQ
ZLEN40Va9kWRuO6Fk9ewiJF9jEkCe2RqPl8bTZF+zz//R0j/CyGd3OOSzv33B7+nD9X+12PchJx0
fohM/vqTv5375C8SQzZjInC0nNMW2/ZvBz8wwpgfXSYyzJK+c4l/09PFL465FHe5cLYQzpfZFk+f
Nvqf/zblLwBTHCbIS6Jy0dz/zsnPcX92dLvm0snJgFGCQeOvXPT2PwwXw8kasiIJI7BDuHVKt7CR
SNgenkw8f+vMahkEp9igb5WurSYaqKlDGmPqX6gRT6NGo34GosC2ab3mDilTw8CaeY8xvp0dU/SF
E7k0k5cjHFdw3/SVj0t1ObAu2Wy7pAuW1m56pUAB25m9ApburHsPIQp75rivA+tYYIDgwDWFDVxY
N3xgQWA/3NvkrTwnwY0wPOqfDesWUO+Hue1Jpw3ZtI17TazbpZM9XNrZ28+idqCtS4RQo74dKiPN
hJghL/gRNpVUANJJVGo3cVAlah2NybBvTNw68zAVqxHf9ROJif6UmGK6R982tyQwomsI/5CNvHl5
5wSw1MbIHbwYSwc9YwwIFtEw5XdhZBP5M2mrTxT/GdOgfqLn6IF9hk0+hHZ715rwPVGArlGFsg7Z
29POGFvtXVol8joodaC5JMpBzTt4S7EZdcy2M1eb116HrI4ejuml6vWVM9XZmr85XZuqpXOqhPVq
aOQXg9F86tK02usc4KQ1GTu9i64IVPUtMjYa7FrCyPQte7BWJMZn66KluBCTXIEG5uK4ZMlv9x5W
wgdLTZSsU7ikb7TeIH2ZTCYLvypsvg+7u0DY3LeJeGGjbrOMlwSogvYxKCZx9IbmYSJRylFQFK+g
W6ejTtiNfK4brcGqbEJihZQYhuGtsrAsrXtJKgrLErCpgowRn3IeyVWVl85V2CnnOjXBa2rQrF+C
JjBuyOwmGzt0xotprj5aA1mXqf3sbII6Dq/nIVHH0WPqnzhYolx95OzKszPTHYpVC4qLdbN9RvQu
fBv8/oEFNghPpGez/mb0wrJ+Q41Ur2Ko2cpwkrhx8so+EYg371L61dZgXDta4VXt+G2f85ENVd5c
csB6HdAszxo0sI0xiA+ryF+hVrBZz+2ihi+JoJkRvLtin66rdd5M7gtuw+5+1pZHUR9kGweUKmSG
vOvyvbA6O9kGTkmHQlYMw2vEIEms9QkdBPm5JsKZLo1tM9/yxpYY5OKlYOGmL2dCnDToXFQ14z82
elNw01fG9WDrL7PyXkTTMQAwvU0jRV7tPSeGrGpJCu53Pcj8nYBo+4QD9Z55/4cwuoCjj8yqTcNu
aG9zJHCvoozkMpEPOAGRY0AEYu3gNzDCMVV0ViTIGKoPh1Ev0BZKB3nY70I1GJfKU3O4cwPMzH7X
VC853QXdbQOikz9JbeHDBoyxinLV1Cl1ongE1wyoxm0nvB0H/+iQ4jGobwzc2vm+C/Tc86kwSE6p
KRKUGEWLwWqk3vJSkZLbSLOMDhFNcZu6ok7NkZq21nFPPYGinuxVO58KITUSyyrapaBvgR0b2tYO
OOp4Yhq2xdKmB+EvfYYATsEgJ5wTrOatVQBdXvIJHREEK13hnbNvmKikWCLY3dJgS2tXnwJUBcB8
TFITib3rql0Pgsfv9Ty8HHqUIb9LlmweyOaD3brN5cj+Bo/uOuoyWEcMnvJMYTeIw9LdjJqZb5Pq
5EzjMxqGsy4bZRxGNsobm//rlNmivNQzs45B32ocGeqyNsTa5kQtDymHTVaqpr4xvca8J2MEvpdQ
6TqyYU/4UzVPu4BCd+KoWZq+zIvbzRolAGtL52zW9K8gaxMcN1004n7xmi0zCw6ic3/O5nD6BnGQ
6EUv5ZZ8O/3CtChBbQvUVwvA7xrmsJeuIgcuNyH97hDkU4bOvRDEs+51QdVsCTj2+2KmaWa1GHbm
VVsNAzHZPG6/kmEwM9IFUl0AcPa2fajfhdJx96aWi1MsFqBk4SY7Sq/yVTSTniEZAQLIczfgpyc2
lxqB3aYQBzEtuhtxpoMzkF92pCtOTovfkCe2u1Uk/S469JvTWMh4MxrZbbBs16QK5Y7JHmjjYEFn
xigA2BTppcwr1t5B77O1Zxr1oQYVwxQqTOu1GM3rBl480qSBl5Bb9DKqwvgcs8X0U9y/PghHb20D
JDgSXgi2Q1efxjyvCR+P6t0umxE+VYWtLsuqi9Y0yZZ0VnRoZu8L1IH8ENrNe+2BV+7S4Uuek7IW
+qRvKJKFdNxEB7dR4b4bMhNKj3vu9eC2hY97NnOy9G7X2zfQKfNtoymOPMltJ5R2M0TJNXhD9wgb
0uBuzM40Z8zb0UnZzY5xaAssdcohMc+Y1SJXQDdbTyq3scbpAS/btBo6PtfbmjJb50gr3oTBCldt
uTF4crKH/eyvbYU5IdARx6DZ1incmYqVwKvmuzwWnvY8KIM+3FhKd0YJBNklvlfmjqmeMa2Vra5P
ezpX7mzZOAnK8MxWRqWZde4Jl3NZ2UhuBqjsciX0Jv+YSkDhK4GyfGWUhhatK5ILT2bVjU95Kcaj
bBOdU0mhdvWkDQTfcwkWVJ/S/gi6fWDpzwo+gz5qYYCLeaPnrJhuqjlvUwIbk/1ccuyF15kMqWR+
684djC2RqzUwvg1H5gHUpRu+10an7VRLM7ea3Ho7uDXMQ/QW4gsFy2tam3xAKDrjNhJh+GhNQQWr
iY7iht47Nh25uWBQZ0ZdAmzmaig7aFU83SBA0QFpnpqqy6NNS0EKoAZj6jwUnqQXW5vjL6y6KXKp
I5JdvJpTUhiTIqWGKVX13UFEU3eioUc7aHXtsPELBJgYDIXelQ5DofXLdq7jLQdd8hUuhQNruARU
WYe1eCHUDjKSBuTkxo2a+hYfOURtz5liJCTP3ilE6C3WO2c/69HYr+oUn/gKx55cijmn9inDVbIO
aFa4yBN34dPy5T9DpIQDoOyd2QZdDX+BaT4jO4DYdRoHjJbNfo/LErepBvpjY45afrYmh8kqO6Ca
MyixxgN15OIJ/SShNoZia2qrTTfdVpNVYGJIW4F01rbPLN4zspCC9OHpXyyJt4+DlkA/Z79Vkzyn
62AFYAn8aIsRdUVS2vBbgGN03TgRxM6a+ivcJFG3gXB4WdkDotWQtxdDJ+0DVnmKlQoinTcqa7p0
o+wi21kMDjaAP0xsWQpre1ZY0/sYuES52XM/GJMjT4EVFY6/GLnIHbA1WwehHnqXMFeJnUzyuc1N
9YTFgploaFvbTKNp0BhtcWiMaW4QHhPnxSRzMPgEJZt9TMaTZ4nhXWawxD8MxojktmL9jfU0PsaD
psNCsZznnkqsCcZDLslCM+9w1y2qJfFvmAxTgYsGO4zJWXmgyBFn3AZPirfzRioV7LHvT7PsB/Q3
aLxKgounm2P0EwgKtF1W0RuKGYYNoyytrR6XqPWVXkEdBafl5+VI+iFoa8BmgBmMXsh3ozDGiwof
79kl9nxXDdTX+qznCUxdXd0zqM2eQ11k4ZqEvAeblskorDtxFFVQbyXX60nUoQMevUWxFxVj9lnw
AjOWPXCR1Waib569P82Wth10+PrbKGVpzovt4FT2jthpcRgFe/GKKck9flhzq4lm01Z1chWHDUWh
Sd6fEyyLJxaJHhNixM0i+wVizspnpk3sR1pdbWCQ0/EIsqL0037CHZQr7vUGk2AVs0fJsDmzgaJA
NEode6ZmNxpQQDrnW9+Ww7uTg9kg/eaNl71hjOZ2aKzyP4Pf73Sjvzr/m2KZxP778//9R1F8KPXx
8Ucvnfn9p349+7s6B3zO1UtaW/LLfj33e4JiQrZWS4QaVxz//n3i6/yC41lQBmQIpsUMin8/91u/
eJzVcdhxEnZNZIO/c+7H3/3TxNc1PNoDoOLpJp4872dkp5waU4sGuzho3Nk6+08mQEm/oQd1MCih
Y86yWvykw0W7RB5yVUN6W2IQpI3lvs6tGGRZoPINY2udXT3RCQTKdOMscYowZI32hwYHBwex55zS
rno9mbb5xs5APxhLLKPzbMZ6S1SDhub3rqgIb5jkCW0E4jVwo9rXl5AHAYaO5KgQjHdNMiCzN6qt
zVSKc49LRiTBUmORlyPcrfJDN4ZknWJn2ykp16KFIdwncXilL9GTYoqhbkS00i2yNtkUzIflc6R3
9c7otflIr8QyrEHN+YLFiGzL+JlzyTnxXZY8kh5SokQULs7ithsaY11k8qbvdO9SJLB53JzCAspm
SVqgYu9n2fXrNEZrDRLR7MiSwiuMLVZQ4jhlVcpDQzB+S+8qYjeq71UhvWNYoHuUY3pNxwfiI4nh
FUxvd5NxIF11KREgzmYgLWpL+GK2rAsvGdWhU7O2D7SZUWkaaUfAkSwsNMyyxKBIq4TNP3FTske1
q+EeHIbuXo+RUg2yChdhkNs7IBj51qhNm9+q5puqN9SljDUkZZJOzhJ5mpi2b9SQMGaWqbqZU/RY
+tTQOLpyXGsVwSlriVB1yJfkjV9FHivIV6juXQ9ZirRu8Ni7cbmlw855x66WTmA1jeQytHE6Zp/p
rXHknOou6yWPF3fP9qTZ1g4zw4nkwoYuex43SxyM+Bc73aYYvoUMdbfzgvNhVEd2gvsG/yekPJAo
SfUQdXrygDFtetPg4yJrzba41EpKclxtIXfg6iQt55HAqmgnWUHX4NSzRNqCJdxmLjG3jLwbuXGS
b5CJ673blenNWNba0cWmeGXkjXey6phpRoWzu/FjJs5y32kcBLYNiCvOip1F5m5e4neMcbbJZyJv
HhtzGy0xPeMzsVcv4T0CiMzYZo9EH2YLQXG4AYTIHGYeGwSS5ZopRLwajTm/1jSwwzYO1qgr6svG
Md7KrJbBRU3oMzpVevbkxI28JdzP0Q1N7qDizgqMXQauCONej4bjfeXgUVNAEEzz1Yzf4Fp1nJu/
gjlmwkCj+Kpw2+7BrpbTittFzEWA7dyjscEdbDoCTlnhHYdSGvnKCxTRqAq3HxFhLU+GZXsSQuji
Uf9gZIOVjmtbpBgD14UjS3mkCclVGmbWxBBXLJR87nlfzQgaybIDojtJvMwRaBtfEIY818QF5ZPA
J1PDabAn/aYY2YS9JwEodKzs3ooVjj5kSwM5zJCCK9dOib/nHTRSxDI0x54ExUq0XvKFdu9J27tF
L8qDXWaDtqJoipbyvmvYMy2TAOtyCHPvMZ8q+y3VJfmTku6jEPxMK/pVseSDilZa72gObbrjwI3t
Djwwk/Cexmzwk9gsvE1hp7zknIUNltLFXm8i0eS4CTKyI2Igm87axyu2Ke7CFSoiVjnKThITcKNX
lFfSnYzS8aeujsz2RKzUFuuSGjeakUdJ5p9d4NW4yB/2kscXCFREDG0+Y3wDwXSfDa5xahzifqu0
bIjbzbk3AIA3ncvCs+pDGrMJt0Y7QHND5IVxbModkI1oR4OOuyspCr8ujOxiDrGKrxrdLmkqXZqk
ABlty6G1Inw5rlzsdDGhuq7ocPYljnF0SVXaWpEs9yppTD104k1D/lDbCqJ2d4hFycYxFMAwc2C/
5WhFQTkC5dpuL51z6+C2sRPIISuIJqeJ/Mcqqxt9DUoh3LUNY8LVPHfAx3I1T1/rqf7CM6o5Y65C
KSBo4cc9dpuVIWpxF856sB1F4j4AA1Q3Fh45Hg5FRqeLVFdl62psj5Ek+0IEX2doLGDA9bWS9D6w
dAZ7koviOZV6vKaax33p9XosV21gVPuECP5JznK+tGxyeWFNr2s1TAnTPJNhbl32Z4tOUmY7FmUO
Yk6YnkXYzpOeyvuEGd41XslkE1EsobKiephl2R4mp+8IVhUQ+frcxsCsY3yZFYbUISujK1gPIEKb
0XBPBLYrgv6mvcZOVawg4o4kNCx7ZSDtrkIQZteYImFN0RuysRIv3Dm8gW0Fm4BU5WBFLI2z9WyS
k+ZZaHvVW+8a7aUuZ/0D/0S5tVvclyl1Y3tH1eYTxeoVJ/UyXHOGpJwrZtDYFG12ThFCHzvuw0vG
+s01MXfvwqX202d8mFwwiSWXY0b9GZUbnR/O4p5y79fateKLyYqipwB7xjkIdEAr6OLsBPI5g0kG
X6/MTXFWI7ZZP+bOv7YTOe48w2neXFmAD3SQtxlh38CHH6m+y13nkDN2xYq9NFwkafllgEqzqsZc
AO8qxYHD8xM8WA7wkGbYPCCIa9pkUr6SNi6CgPY8FoHYWE1YXdpxLE6mpugQ5elfrxHYqAJlKA6i
V28fNKMjsI+fGreQRa7f0/BOqX50PL+2hfSxEEzxQlQENJ3Dg4V1mzp6yG8TgwuTgZu6QXOnls9+
M0ZmeSNgi3klRcJK0DQpgj2ctSmSdybB25BHXpjHYXSvnKmKbz43rf+Z7/3V/t7CZPBn+/uH9i36
YWv//Qd+i8kIoKa2IAsjfvNf/ra9Z4z2i4B06mEIBziKqfIf23sL16bOEwPQ1u/7evkLJTHCxOhJ
p4T7N6uGOAX8GI+hIJJDiMk40VyGg+ZP47ySSXJUTu506YFomVPfHapp2uYOeUikQPNAwfXC1ghB
HijbwiI3TVgL2MFcT3XR7Jsa4zeTbPjQBHw3n6CjaJrsa8Cjii1UmY1xQLDAHAStxfs8d+ievNXk
ROybLX3vetZDRMUZShjkPTpCwqGn7VlkgXbl5RaZjbJJ8B2w8dFL95tZSeJl+wF77NgfQtlhgj4E
Ejg/VS5u3d8x0BLWnVawz9hUFhCnTZgMoAP5LC2TuAfbTcHLsuhVwuE2MbjnSXhOhKNzC3DRkMXn
IM+jXS2N2fSHwgnui9zAe48xf8+booeF6qQvqPLxvZtYDdnkPErY42HdH5v6MDPS30Zl0L15uqAA
U4EpoayYA7zDtt/3yp6JDWTqGePAMcEzYkNVJKE0GpthgE9wMuScF/qCXBzPUZj22gGs4kIoSbVw
utOYE8xiDfEowRiG5dOQO8RQ7Ah9IMq2pmIwDPRlHUp7JLJbJxNxc1mRI+H0s8rpfMj7w39WhP+T
1Zuw8Z8ykp9i9bWk1POH9Jz5/ad+O/E7v7AgGHi2jX9QkH879Ru/wGgjJOfhAfh0ev++LLAEEKu1
FoSbZZCU48/4ddrPisENLQGIYADHJvz3Tv3Lzf97dg48sodhHImCXR7w5n9aHAxdRGlnR86JSSb3
eo4129a56+dpYlFoeZbidPiHJPIvMu//6gWxPwhc3iyWjr6sVn8wF6S868qocvtksk1afwJlZg9S
lEOR4D5Eaz7/+euxjP7TGyRjyOcFqsDFF/jj63kJmDk6fKyTLCPnLfF4AXNh2iq7/6tMNL6Nn1+K
r5rv2gaILQUG/B/eWhMNUdilunVK84GUrEyAp7UzW34yU/q5nWfvUaaYjJolz/u33yVXks3V4IL0
kz9bNoYarVBojXVSRgJfz604ojB4Xg5RIVnbP38xHTXq5zfKFah7y9gOqvTnE+cP3+EIhpnBR2yd
htLhhaD1cwoaEkH+v28l0nphQnw5IvIQBZ6aqCeVrpdwykZIk75YMGN//hf985eM+8UlR4F8Birx
5zg8NfRBl4WBdXIHxug+VVfxTmgp//r/vRZPbCoAuYS5cH66oELMHhnPP4scFYSrztLUO9P08bZL
jL8KlC8XzI83p0O8DCeODXaRaMcS0fjD50zrWENurLNOfRB9UwZ8gs7Itb/4Nv/VZ8ciRH0GL8Yq
9dNVKzAayNbIrNO8MNcStwdz4S6VDPq8gMT+/IvSl0/n57e0IAsMNiN8hD9rjACP9X7G6H5KDMoI
1mbPa+qBBoMrA+/74tap/YaBlJs09mBwRODjaGswvz/Q/j3m4p+vYEdgjSFawa1qUYPw4ycbUCEC
GDa1TqPbGkeTgCTkrABgZKUprlDqqfNNmhoc1KcZhNj68+al0Rccmaea/Z9/KP/qG7AseNWcxxCH
f07apLDjoV+C9lZwh27ZGQ4QKjvYdlXjbf7+SznYx9hZ8mgxfr6ixsptykbW5im2+Xg9b6FPknRm
qXdpMfmLopQfl3qW76VeU1D9zpOF4fjPL1ZFLRpUXWnHYFrIXJrWVC+FCc5vXtCVfbFwzf787ek/
LsHLS0KjIG6Ou275ghex/I93DKANywAi5B0Fw/ed5Ra441UDJxF7+XgbKzZ+TPCgdDDiBKKyID/y
kTooyNjVsEaExMm+bHo/V5DWSkEcTrMBnCCIUFPxcFFL++d/sv25//79lrB58KNTL6ktakBxCv7c
6sYuMLFGRrZHlYl8C5193paxAxdZV2mH0JRPY+hnWdKUgV8m1eRsdH7ZTdNokBuJyy4YRsp1Yj+w
w/Z9NvP2feQEi38umrmvDIig0Vo0CRkl+5PlyXDQeqsjQIA08EEYTfixhtPDQU78HPIwiL5hAau2
GK1ObmiRlEr4ACnVS6ZrDq1aswETAK9yRhShpyao9b2ubKQrBTd1WOceDBtoiXFgrsIuNgmqFjWv
4fJJf4bB6tpFvrd6i7IQ/ElMCyLgzpQl6NXLxGxt3mkBnYDHoVpAa20IzG1qdNgUzKPb9zTJ6hdZ
YUk85no83ep4tq41o9XAG8KaiF91moo5PM+mw4h2IFT/WGd0qhVt6rylnO6xA+JCe5t0DyKrXi1P
6L633/IpNb5WUDn3fS3r28Zp8509gJGXcQiRjfW3BxxA/jpn5A/5T8MKeLKW07pFl7NvjgARP0mg
k2XEu8CEXNssHD+tNIAmfsJivCGQt0qF86PRk0b6znn9PIrpY6PeU9rLjJVjQiecVaCbvouw/dhV
C7UGkZIAWlDwKecJVMO55XNDFVYQBpenXMGTGj3Hoc5syqMm2Ydw18HSScmVbUEpnXAPTLM8RsvG
BFjZeE36wLsQiQH3kcjbuMmEBniVsbN+ruOaqwafFNxZZwE14u6rMDyU7lRQdxVI51gt66VGVFzt
lNXTAg0JjD+GmhCA+E3Lc9EpI+6/UoSwQHKoVudIy6HVTJ8cpqCkOWMtEX3AXn4qnnpB0REQHc17
VMAk1Q65GeS8BhS10l2eRS3+OxCGGc/lVVvgrfUrJNTLGRB36INDtN+IntlvzpI4w6PYeBnjXr0B
UjIb+3keUMyN0LFei74v7t05ni5J8lFKrcZSJw+e6S7DZtEc46zk6JlNvIzKRrKIxVx2a6EC5x6C
LOxxxnVFuiJkO51dgS0ot6Ky4kDm0WYAntsfMbD6UzFP9ym9PxsIAVV1TMUiAXFNEtNgTH/Tktqj
+Tfo8o/SbtpvrjWjPxuyO1NUSHxkGhPOsl3KyuTPGQsXc2nEuVabqmcHQpbaInw7XzlnolACZbsg
sN+EW2G6EpG7q+K1npTFri+78uxhTCS9OavoNTSp00BcxC/H+HxXF1NwImcv652rBueFSj2ahYpq
fuWgXh4Bh+OWHAdrfi2yOmX6bcy+wsTUUHllExlKh+I1wY/aros+UutUNHK3bEbxbIwgL9dNk2ub
mj3gEsPKt4hfdNZG5KCKUgS3HX6VQ5HW1SFpyBhMdjd9BLCdNvB6tRtqPPLnOO3JemMoWJFqIbFY
K5icafMmW5J9bjxrUObyyO/6Rt/mDO4TCtbPtJMKln8zAI/HfA3fiSMzs2z9dDE5ElLBzRWWyzdf
DRfsdN09Ku1kr4uYujIroEAOJ60XkCnEBu2WlcKGr+hJAuWHm7fsHqrUqSu/L9SW1gdsG5H4mklV
PgOfMxgg6eNWaZQ7dBl/B1S0/IanEoC+meX9wrFqKuVDwTcqQyO5KImLX0MJrcif4E71Nagp7dsU
QL/VjIRbQi0EoE1ZtUZy+o5IxjcMBIDVtn0PG8GCBC1Tv/8OlmXGCZBUMvjcuB02jw0NMiN9qWXN
Lh2zBhgfw9bKl0C3xutPUrGcsmbfYrZ0sUfaAfkEw8Kg3WTcAEIfK7WjUowliNV4iUggBWkj5yil
ErZwDlbp+76yuPW7yK731kiQFGp0Sh6q4rJdXA6LYRxm/gtozJD9XMQURjdLo0R6jhQRCJxBbvVt
qnoL0VQSqslkqzZFYg0fuUvxiE9PmP0EigLAaOSpPURWXGHFGMZ4ZPUk+qL69i2pbOwmVhyGPgG1
Wj1nM3GnOwKt6DquEWFsI8/sO1mcbqhdqPeJ5sxbSj8R270wlytCrsMDLvL81gmrb0Y2P4+GpV+l
LfXDrKsEVgyPoZfVVcZ72Ebh+xzHw13YSb457niaFyig8FYWXQI0v0Uxc1x6deSRBBRtPeOQVTmR
DtZxP0UpHvbgIgSzwnK6rBV2GYdwGWSQPO1wbPMtkOCnVelRK4D2bxCZs8uxaawrErrZVa1b3W0e
uxBvSx3jZK9lG6xX5hdKmvsTsU6MOHZgxM5KuSbZO0h3+O3mwVvldcZy4QU0u+SudZyG/ktQacPd
0Ibpjd51xP4w772mg5PSi5NFeH3B1xA5m8zw7FGaeNngbj1q3uA5q6gP1ZsREyLLYdxtitjuTtDb
GBP/L3dXtpw4DkV/JTXvpLxi/DBdNQMBkg6QpLNMnigFDBYYCywbG76+j2ycxmZJJnLNTA2VF5Zc
y9e6V9JdzjFCvgg6KlxeG5QLSHwnqqYNAUSKUF7b9Xz9ESh3SzC16dsfS+oOb5VNtL0PXYC32Otp
/Bp54QpVipwb9CahSWI2kQKooWl3GDfm/XqCdFnHdiPexSm3djuztuwJYTCwydSAWwiOyJqlzBFv
bMT9GCv8RF2veC9aLtedBAvhd3/GF15rCXR41BurOF64cG4d8LOqAGPHzqLWnK6t9f1UW6OOzJ8N
TTAQw+W9zpMQZKEbz7xNqAY3irp/sJytgA0EsPtFEA2RRWBaL7Q2WxMkRCs0SzY8y4BDVGOHaWCC
bdvg3gZWBmCWDWOlXelefdvlkUUf+EJdPUXqhj83PPSjrROEarczlDrNLXAAGcDjESW0M6ulL2ML
8HXDrTtWFiHWoVABRTN6janXMqCqu/UW5xTfQztF00RGYaApVvKkBHENWYwQtaFUX+ntRk0PLHA+
+GZ7xS0UXjCN2rwTYe5OgG2SvCyB3T2KTVRixHXAUbSVZR3ghBx8eYD6Yp6F7seGziZo7V3RVuCi
07VrhcuJ6SbTOz5bgJd4S3l4o8cJcI8YQ7chcj+rDdIjAVrhsToPamjSutKU+jBs2VNR67AFBPWf
wJqx0OEUGWED1Opou6sZ1vovkE+zqGlNt7OBguoQBbyOvjfwgV4O5kQtqd27AFJsYs3mqoEgbuwl
0XPiAgHOyE6w/5vsyO5GBJ3bVRrjvI+cYPPgAI445DkghPj2jlE/fGRf+9F5QTu2uI/yLYDDwFH4
PXj4Pqh0xOdkeCQExenYQeuTCmgyhEgbqipSJoqCg74Hpobd1zXbvtTRWW2jrg7xP7xwYMQF95R0
Sg3n7zDT5/nfFO5gxCI/FM9hSstYawi4fEYHJQl7OrAvAdkJOEgcfNMX6rpKOlBU1ImJAEP6yi74
z+uAgKjDb8HoAzoK9xNpeHiCl+8zWijJ+KUFDWgqtilorbObtAFFt6+FBsLmKD5AbBBQJuIFLf0r
M6F0B05qpIJY0TTFmKWUgE5AzQTut63a2U2WzAFtDJfYaArI0J2a/mtKwDb7AK0wNdG/4RSQIbGB
qGvA8DMtlAzCMi/Rygm+VXQ3pi9EiT47FT5hNe9etulSb5z6V+rwY2741A9yv3L4/c6npDycewA/
6Q+Fu82unc0p8f5bYbalfm/vy9wP7v/77gYPL310UPmHXeoEJBi5m/R2N7th9skCPvoPj7yRBSkY
fGp+v0by+2+Fce5ZwQeC+bwkV4TjpeUGdMuKnEyI9WOpkhc8Jz4nPJckHiM6G2CkspKbxKMTFpT6
jjOPIi2beSwgY5aPUowajKowGnnJKJgehRTMf7mwVDjqmfP3R/cQ7z7y3OxoOR6JSeDkkoTkBiCL
8/cSkndL2AWbXDSBMr14K7Z720DLkr9KG1qn4+L0ztZJWbV3HIYe9aJk+ENsC2Qld6FxSnM56fTW
U8YyWcHXY+IWJiBgpwV2ubRcD+xrjBYtEo2pFcy/a39MScmLGEhAVzBoFhcfHmqKUFEkq4vvh74J
2dsK7OU7RhaN5pt8iOm8qEPL+QdfN8VbFlF+oGYbmzx52T2gtBe8B8KAVSwvPYIIAfHH+QiFOtDb
UcUj7BHOyQhhDycMC3MaiU6jCpXQkUunpFDugrIsu4K1oEdF80yZaxz71AoMBmQXXPwtlwXfhG4G
pSLpLArKoisZOPPDkg8RqVQ7nzpfN5y+8xaQ0u4JaXAB4C3rR/rOmhTXLQ3lhxVsn/pOfNEloJVz
aXFZh3y7Agco5N84AXc2uRJS0wRMS0XCe05CR4VlDMcdcfKVV3l88cqCeS5pN25xkpIWDSC342im
mp7xlJ6upPvUPq2fXqBF5mXbRy68gi3JwKVFjRuYLfJqGcw97EiKpxqwcdgVONnTePySmr5DfyLf
eGtSOiagjEurYNwPLhs7F9f8YG0Dwm0FD/LHh7C6kurJLnA4EQVqbwX7wbPdoZJDf3SS4qlSz2Kr
ssZ/quJdcrjPTrDAypZbofBWgrOlAkd4FH0LJTcVzL8XgnUHkH/F8C0IJ4wKvOyL8wF0mKTGzxYq
y8oGLQEUU3iadZTU5h+c2qQcizS9h+YP4095yP3YvxWDa+IXI88hwbefAAAA//8=</cx:binary>
              </cx:geoCache>
            </cx:geography>
          </cx:layoutPr>
        </cx:series>
      </cx:plotAreaRegion>
    </cx:plotArea>
    <cx:legend pos="r" align="min" overlay="0"/>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18506</xdr:rowOff>
    </xdr:from>
    <xdr:to>
      <xdr:col>21</xdr:col>
      <xdr:colOff>546060</xdr:colOff>
      <xdr:row>42</xdr:row>
      <xdr:rowOff>109586</xdr:rowOff>
    </xdr:to>
    <xdr:sp macro="" textlink="">
      <xdr:nvSpPr>
        <xdr:cNvPr id="2" name="Rectangle: Rounded Corners 1">
          <a:extLst>
            <a:ext uri="{FF2B5EF4-FFF2-40B4-BE49-F238E27FC236}">
              <a16:creationId xmlns:a16="http://schemas.microsoft.com/office/drawing/2014/main" id="{97E3BA61-A8E8-4A0D-93E9-A62EB686CD33}"/>
            </a:ext>
          </a:extLst>
        </xdr:cNvPr>
        <xdr:cNvSpPr/>
      </xdr:nvSpPr>
      <xdr:spPr>
        <a:xfrm>
          <a:off x="83820" y="18506"/>
          <a:ext cx="14544000" cy="7452000"/>
        </a:xfrm>
        <a:prstGeom prst="roundRect">
          <a:avLst>
            <a:gd name="adj" fmla="val 4396"/>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245160</xdr:colOff>
      <xdr:row>1</xdr:row>
      <xdr:rowOff>22860</xdr:rowOff>
    </xdr:from>
    <xdr:to>
      <xdr:col>2</xdr:col>
      <xdr:colOff>524040</xdr:colOff>
      <xdr:row>42</xdr:row>
      <xdr:rowOff>38100</xdr:rowOff>
    </xdr:to>
    <xdr:sp macro="" textlink="">
      <xdr:nvSpPr>
        <xdr:cNvPr id="3" name="Rectangle: Top Corners Rounded 2">
          <a:extLst>
            <a:ext uri="{FF2B5EF4-FFF2-40B4-BE49-F238E27FC236}">
              <a16:creationId xmlns:a16="http://schemas.microsoft.com/office/drawing/2014/main" id="{46C9AC7C-3D4E-491F-8A5B-4157250CE190}"/>
            </a:ext>
          </a:extLst>
        </xdr:cNvPr>
        <xdr:cNvSpPr/>
      </xdr:nvSpPr>
      <xdr:spPr>
        <a:xfrm rot="16200000">
          <a:off x="-2518620" y="2960811"/>
          <a:ext cx="7156269" cy="1628709"/>
        </a:xfrm>
        <a:prstGeom prst="round2SameRect">
          <a:avLst/>
        </a:prstGeom>
        <a:solidFill>
          <a:schemeClr val="accent3">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655320</xdr:colOff>
      <xdr:row>1</xdr:row>
      <xdr:rowOff>30480</xdr:rowOff>
    </xdr:from>
    <xdr:to>
      <xdr:col>21</xdr:col>
      <xdr:colOff>403860</xdr:colOff>
      <xdr:row>5</xdr:row>
      <xdr:rowOff>157440</xdr:rowOff>
    </xdr:to>
    <xdr:sp macro="" textlink="">
      <xdr:nvSpPr>
        <xdr:cNvPr id="4" name="Rectangle: Rounded Corners 3">
          <a:extLst>
            <a:ext uri="{FF2B5EF4-FFF2-40B4-BE49-F238E27FC236}">
              <a16:creationId xmlns:a16="http://schemas.microsoft.com/office/drawing/2014/main" id="{DCFB1BF6-BF83-4C87-BEFE-1D6E85C1F0AD}"/>
            </a:ext>
          </a:extLst>
        </xdr:cNvPr>
        <xdr:cNvSpPr/>
      </xdr:nvSpPr>
      <xdr:spPr>
        <a:xfrm>
          <a:off x="1996440" y="205740"/>
          <a:ext cx="12489180" cy="828000"/>
        </a:xfrm>
        <a:prstGeom prst="roundRect">
          <a:avLst/>
        </a:prstGeom>
        <a:solidFill>
          <a:schemeClr val="accent3">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376844</xdr:colOff>
      <xdr:row>1</xdr:row>
      <xdr:rowOff>81049</xdr:rowOff>
    </xdr:from>
    <xdr:to>
      <xdr:col>18</xdr:col>
      <xdr:colOff>3464</xdr:colOff>
      <xdr:row>5</xdr:row>
      <xdr:rowOff>142009</xdr:rowOff>
    </xdr:to>
    <xdr:sp macro="" textlink="">
      <xdr:nvSpPr>
        <xdr:cNvPr id="5" name="TextBox 4">
          <a:extLst>
            <a:ext uri="{FF2B5EF4-FFF2-40B4-BE49-F238E27FC236}">
              <a16:creationId xmlns:a16="http://schemas.microsoft.com/office/drawing/2014/main" id="{11F4A3EA-095F-49E5-B207-9F4830055148}"/>
            </a:ext>
          </a:extLst>
        </xdr:cNvPr>
        <xdr:cNvSpPr txBox="1"/>
      </xdr:nvSpPr>
      <xdr:spPr>
        <a:xfrm>
          <a:off x="3701935" y="261158"/>
          <a:ext cx="8271856" cy="7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bg1"/>
              </a:solidFill>
              <a:latin typeface="Bahnschrift SemiBold SemiConden" panose="020B0502040204020203" pitchFamily="34" charset="0"/>
            </a:rPr>
            <a:t>Employee Performance Dashboard</a:t>
          </a:r>
        </a:p>
      </xdr:txBody>
    </xdr:sp>
    <xdr:clientData/>
  </xdr:twoCellAnchor>
  <xdr:twoCellAnchor>
    <xdr:from>
      <xdr:col>3</xdr:col>
      <xdr:colOff>15240</xdr:colOff>
      <xdr:row>6</xdr:row>
      <xdr:rowOff>106680</xdr:rowOff>
    </xdr:from>
    <xdr:to>
      <xdr:col>6</xdr:col>
      <xdr:colOff>379560</xdr:colOff>
      <xdr:row>11</xdr:row>
      <xdr:rowOff>166380</xdr:rowOff>
    </xdr:to>
    <xdr:sp macro="" textlink="">
      <xdr:nvSpPr>
        <xdr:cNvPr id="6" name="Rectangle: Rounded Corners 5">
          <a:extLst>
            <a:ext uri="{FF2B5EF4-FFF2-40B4-BE49-F238E27FC236}">
              <a16:creationId xmlns:a16="http://schemas.microsoft.com/office/drawing/2014/main" id="{A7665826-B325-4549-936C-31CBCEC2B867}"/>
            </a:ext>
          </a:extLst>
        </xdr:cNvPr>
        <xdr:cNvSpPr/>
      </xdr:nvSpPr>
      <xdr:spPr>
        <a:xfrm>
          <a:off x="2026920" y="1158240"/>
          <a:ext cx="2376000"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533400</xdr:colOff>
      <xdr:row>6</xdr:row>
      <xdr:rowOff>121920</xdr:rowOff>
    </xdr:from>
    <xdr:to>
      <xdr:col>10</xdr:col>
      <xdr:colOff>227160</xdr:colOff>
      <xdr:row>12</xdr:row>
      <xdr:rowOff>6360</xdr:rowOff>
    </xdr:to>
    <xdr:sp macro="" textlink="">
      <xdr:nvSpPr>
        <xdr:cNvPr id="7" name="Rectangle: Rounded Corners 6">
          <a:extLst>
            <a:ext uri="{FF2B5EF4-FFF2-40B4-BE49-F238E27FC236}">
              <a16:creationId xmlns:a16="http://schemas.microsoft.com/office/drawing/2014/main" id="{05161686-2E66-4038-BB39-FA0F32D3AD24}"/>
            </a:ext>
          </a:extLst>
        </xdr:cNvPr>
        <xdr:cNvSpPr/>
      </xdr:nvSpPr>
      <xdr:spPr>
        <a:xfrm>
          <a:off x="4556760" y="1173480"/>
          <a:ext cx="2376000"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413358</xdr:colOff>
      <xdr:row>6</xdr:row>
      <xdr:rowOff>123008</xdr:rowOff>
    </xdr:from>
    <xdr:to>
      <xdr:col>14</xdr:col>
      <xdr:colOff>107118</xdr:colOff>
      <xdr:row>12</xdr:row>
      <xdr:rowOff>7448</xdr:rowOff>
    </xdr:to>
    <xdr:sp macro="" textlink="">
      <xdr:nvSpPr>
        <xdr:cNvPr id="8" name="Rectangle: Rounded Corners 7">
          <a:extLst>
            <a:ext uri="{FF2B5EF4-FFF2-40B4-BE49-F238E27FC236}">
              <a16:creationId xmlns:a16="http://schemas.microsoft.com/office/drawing/2014/main" id="{E0736B79-C2B9-4D51-AF8B-3C73899C7F18}"/>
            </a:ext>
          </a:extLst>
        </xdr:cNvPr>
        <xdr:cNvSpPr/>
      </xdr:nvSpPr>
      <xdr:spPr>
        <a:xfrm>
          <a:off x="7149880" y="1183182"/>
          <a:ext cx="2388368" cy="94461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213360</xdr:colOff>
      <xdr:row>6</xdr:row>
      <xdr:rowOff>123008</xdr:rowOff>
    </xdr:from>
    <xdr:to>
      <xdr:col>17</xdr:col>
      <xdr:colOff>577680</xdr:colOff>
      <xdr:row>12</xdr:row>
      <xdr:rowOff>7448</xdr:rowOff>
    </xdr:to>
    <xdr:sp macro="" textlink="">
      <xdr:nvSpPr>
        <xdr:cNvPr id="9" name="Rectangle: Rounded Corners 8">
          <a:extLst>
            <a:ext uri="{FF2B5EF4-FFF2-40B4-BE49-F238E27FC236}">
              <a16:creationId xmlns:a16="http://schemas.microsoft.com/office/drawing/2014/main" id="{7181C6C0-F1A7-4BB6-83A9-2FFAA9AF2E0B}"/>
            </a:ext>
          </a:extLst>
        </xdr:cNvPr>
        <xdr:cNvSpPr/>
      </xdr:nvSpPr>
      <xdr:spPr>
        <a:xfrm>
          <a:off x="9662160" y="1168037"/>
          <a:ext cx="2389063" cy="9294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22860</xdr:colOff>
      <xdr:row>6</xdr:row>
      <xdr:rowOff>111034</xdr:rowOff>
    </xdr:from>
    <xdr:to>
      <xdr:col>21</xdr:col>
      <xdr:colOff>387180</xdr:colOff>
      <xdr:row>11</xdr:row>
      <xdr:rowOff>169645</xdr:rowOff>
    </xdr:to>
    <xdr:sp macro="" textlink="">
      <xdr:nvSpPr>
        <xdr:cNvPr id="10" name="Rectangle: Rounded Corners 9">
          <a:extLst>
            <a:ext uri="{FF2B5EF4-FFF2-40B4-BE49-F238E27FC236}">
              <a16:creationId xmlns:a16="http://schemas.microsoft.com/office/drawing/2014/main" id="{8012A822-8103-4AE6-8B67-B5164751783E}"/>
            </a:ext>
          </a:extLst>
        </xdr:cNvPr>
        <xdr:cNvSpPr/>
      </xdr:nvSpPr>
      <xdr:spPr>
        <a:xfrm>
          <a:off x="12171317" y="1156063"/>
          <a:ext cx="2389063" cy="9294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465262</xdr:colOff>
      <xdr:row>6</xdr:row>
      <xdr:rowOff>156596</xdr:rowOff>
    </xdr:from>
    <xdr:to>
      <xdr:col>6</xdr:col>
      <xdr:colOff>143566</xdr:colOff>
      <xdr:row>8</xdr:row>
      <xdr:rowOff>88348</xdr:rowOff>
    </xdr:to>
    <xdr:sp macro="" textlink="">
      <xdr:nvSpPr>
        <xdr:cNvPr id="11" name="TextBox 10">
          <a:extLst>
            <a:ext uri="{FF2B5EF4-FFF2-40B4-BE49-F238E27FC236}">
              <a16:creationId xmlns:a16="http://schemas.microsoft.com/office/drawing/2014/main" id="{82A35894-47AE-40A5-B694-DB42F2E02259}"/>
            </a:ext>
          </a:extLst>
        </xdr:cNvPr>
        <xdr:cNvSpPr txBox="1"/>
      </xdr:nvSpPr>
      <xdr:spPr>
        <a:xfrm>
          <a:off x="2486219" y="1216770"/>
          <a:ext cx="1699260" cy="285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3">
                  <a:lumMod val="75000"/>
                </a:schemeClr>
              </a:solidFill>
            </a:rPr>
            <a:t>Total Employees</a:t>
          </a:r>
        </a:p>
      </xdr:txBody>
    </xdr:sp>
    <xdr:clientData/>
  </xdr:twoCellAnchor>
  <xdr:twoCellAnchor>
    <xdr:from>
      <xdr:col>18</xdr:col>
      <xdr:colOff>452673</xdr:colOff>
      <xdr:row>6</xdr:row>
      <xdr:rowOff>148978</xdr:rowOff>
    </xdr:from>
    <xdr:to>
      <xdr:col>21</xdr:col>
      <xdr:colOff>220870</xdr:colOff>
      <xdr:row>8</xdr:row>
      <xdr:rowOff>154609</xdr:rowOff>
    </xdr:to>
    <xdr:sp macro="" textlink="">
      <xdr:nvSpPr>
        <xdr:cNvPr id="12" name="TextBox 11">
          <a:extLst>
            <a:ext uri="{FF2B5EF4-FFF2-40B4-BE49-F238E27FC236}">
              <a16:creationId xmlns:a16="http://schemas.microsoft.com/office/drawing/2014/main" id="{AC377DED-1455-4B4D-9E60-F99687F84902}"/>
            </a:ext>
          </a:extLst>
        </xdr:cNvPr>
        <xdr:cNvSpPr txBox="1"/>
      </xdr:nvSpPr>
      <xdr:spPr>
        <a:xfrm>
          <a:off x="12578412" y="1209152"/>
          <a:ext cx="1789154" cy="359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3">
                  <a:lumMod val="75000"/>
                </a:schemeClr>
              </a:solidFill>
            </a:rPr>
            <a:t>Avg.</a:t>
          </a:r>
          <a:r>
            <a:rPr lang="en-GB" sz="1600" b="1" baseline="0">
              <a:solidFill>
                <a:schemeClr val="accent3">
                  <a:lumMod val="75000"/>
                </a:schemeClr>
              </a:solidFill>
            </a:rPr>
            <a:t> Quality Score</a:t>
          </a:r>
          <a:endParaRPr lang="en-GB" sz="1600" b="1">
            <a:solidFill>
              <a:schemeClr val="accent3">
                <a:lumMod val="75000"/>
              </a:schemeClr>
            </a:solidFill>
          </a:endParaRPr>
        </a:p>
      </xdr:txBody>
    </xdr:sp>
    <xdr:clientData/>
  </xdr:twoCellAnchor>
  <xdr:twoCellAnchor>
    <xdr:from>
      <xdr:col>14</xdr:col>
      <xdr:colOff>475532</xdr:colOff>
      <xdr:row>6</xdr:row>
      <xdr:rowOff>132523</xdr:rowOff>
    </xdr:from>
    <xdr:to>
      <xdr:col>17</xdr:col>
      <xdr:colOff>541130</xdr:colOff>
      <xdr:row>8</xdr:row>
      <xdr:rowOff>99392</xdr:rowOff>
    </xdr:to>
    <xdr:sp macro="" textlink="">
      <xdr:nvSpPr>
        <xdr:cNvPr id="13" name="TextBox 12">
          <a:extLst>
            <a:ext uri="{FF2B5EF4-FFF2-40B4-BE49-F238E27FC236}">
              <a16:creationId xmlns:a16="http://schemas.microsoft.com/office/drawing/2014/main" id="{6D9909C7-94C3-400C-B7ED-DC7AA15FA3A7}"/>
            </a:ext>
          </a:extLst>
        </xdr:cNvPr>
        <xdr:cNvSpPr txBox="1"/>
      </xdr:nvSpPr>
      <xdr:spPr>
        <a:xfrm>
          <a:off x="9906662" y="1192697"/>
          <a:ext cx="2086555" cy="320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3">
                  <a:lumMod val="75000"/>
                </a:schemeClr>
              </a:solidFill>
            </a:rPr>
            <a:t>Total Completed Task</a:t>
          </a:r>
        </a:p>
      </xdr:txBody>
    </xdr:sp>
    <xdr:clientData/>
  </xdr:twoCellAnchor>
  <xdr:twoCellAnchor>
    <xdr:from>
      <xdr:col>11</xdr:col>
      <xdr:colOff>144779</xdr:colOff>
      <xdr:row>6</xdr:row>
      <xdr:rowOff>154609</xdr:rowOff>
    </xdr:from>
    <xdr:to>
      <xdr:col>14</xdr:col>
      <xdr:colOff>0</xdr:colOff>
      <xdr:row>9</xdr:row>
      <xdr:rowOff>11043</xdr:rowOff>
    </xdr:to>
    <xdr:sp macro="" textlink="">
      <xdr:nvSpPr>
        <xdr:cNvPr id="14" name="TextBox 13">
          <a:extLst>
            <a:ext uri="{FF2B5EF4-FFF2-40B4-BE49-F238E27FC236}">
              <a16:creationId xmlns:a16="http://schemas.microsoft.com/office/drawing/2014/main" id="{E26DA98E-70A5-477A-83C2-D4501EABF7F6}"/>
            </a:ext>
          </a:extLst>
        </xdr:cNvPr>
        <xdr:cNvSpPr txBox="1"/>
      </xdr:nvSpPr>
      <xdr:spPr>
        <a:xfrm>
          <a:off x="7554953" y="1214783"/>
          <a:ext cx="1876177" cy="38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tx2">
                  <a:lumMod val="75000"/>
                  <a:lumOff val="25000"/>
                </a:schemeClr>
              </a:solidFill>
            </a:rPr>
            <a:t> </a:t>
          </a:r>
          <a:r>
            <a:rPr lang="en-GB" sz="1600" b="1">
              <a:solidFill>
                <a:schemeClr val="accent3">
                  <a:lumMod val="75000"/>
                </a:schemeClr>
              </a:solidFill>
              <a:latin typeface="+mn-lt"/>
              <a:ea typeface="+mn-ea"/>
              <a:cs typeface="+mn-cs"/>
            </a:rPr>
            <a:t>Avg</a:t>
          </a:r>
          <a:r>
            <a:rPr lang="en-GB" sz="1600" b="1">
              <a:solidFill>
                <a:schemeClr val="accent3">
                  <a:lumMod val="75000"/>
                </a:schemeClr>
              </a:solidFill>
            </a:rPr>
            <a:t>.</a:t>
          </a:r>
          <a:r>
            <a:rPr lang="en-GB" sz="1600" b="1" baseline="0">
              <a:solidFill>
                <a:schemeClr val="accent3">
                  <a:lumMod val="75000"/>
                </a:schemeClr>
              </a:solidFill>
            </a:rPr>
            <a:t> Achievemnet</a:t>
          </a:r>
          <a:endParaRPr lang="en-GB" sz="1600" b="1">
            <a:solidFill>
              <a:schemeClr val="accent3">
                <a:lumMod val="75000"/>
              </a:schemeClr>
            </a:solidFill>
          </a:endParaRPr>
        </a:p>
      </xdr:txBody>
    </xdr:sp>
    <xdr:clientData/>
  </xdr:twoCellAnchor>
  <xdr:twoCellAnchor>
    <xdr:from>
      <xdr:col>7</xdr:col>
      <xdr:colOff>321586</xdr:colOff>
      <xdr:row>6</xdr:row>
      <xdr:rowOff>156596</xdr:rowOff>
    </xdr:from>
    <xdr:to>
      <xdr:col>10</xdr:col>
      <xdr:colOff>11043</xdr:colOff>
      <xdr:row>8</xdr:row>
      <xdr:rowOff>121478</xdr:rowOff>
    </xdr:to>
    <xdr:sp macro="" textlink="">
      <xdr:nvSpPr>
        <xdr:cNvPr id="15" name="TextBox 14">
          <a:extLst>
            <a:ext uri="{FF2B5EF4-FFF2-40B4-BE49-F238E27FC236}">
              <a16:creationId xmlns:a16="http://schemas.microsoft.com/office/drawing/2014/main" id="{1700B004-958E-4322-8D32-6DEFD0FC38A2}"/>
            </a:ext>
          </a:extLst>
        </xdr:cNvPr>
        <xdr:cNvSpPr txBox="1"/>
      </xdr:nvSpPr>
      <xdr:spPr>
        <a:xfrm>
          <a:off x="5037151" y="1216770"/>
          <a:ext cx="1710414" cy="318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3">
                  <a:lumMod val="75000"/>
                </a:schemeClr>
              </a:solidFill>
            </a:rPr>
            <a:t>Avg.</a:t>
          </a:r>
          <a:r>
            <a:rPr lang="en-GB" sz="1600" b="1" baseline="0">
              <a:solidFill>
                <a:schemeClr val="accent3">
                  <a:lumMod val="75000"/>
                </a:schemeClr>
              </a:solidFill>
            </a:rPr>
            <a:t> Productivity</a:t>
          </a:r>
          <a:endParaRPr lang="en-GB" sz="1600" b="1">
            <a:solidFill>
              <a:schemeClr val="accent3">
                <a:lumMod val="75000"/>
              </a:schemeClr>
            </a:solidFill>
          </a:endParaRPr>
        </a:p>
      </xdr:txBody>
    </xdr:sp>
    <xdr:clientData/>
  </xdr:twoCellAnchor>
  <xdr:twoCellAnchor editAs="oneCell">
    <xdr:from>
      <xdr:col>6</xdr:col>
      <xdr:colOff>617220</xdr:colOff>
      <xdr:row>8</xdr:row>
      <xdr:rowOff>22860</xdr:rowOff>
    </xdr:from>
    <xdr:to>
      <xdr:col>7</xdr:col>
      <xdr:colOff>548640</xdr:colOff>
      <xdr:row>11</xdr:row>
      <xdr:rowOff>99060</xdr:rowOff>
    </xdr:to>
    <xdr:pic>
      <xdr:nvPicPr>
        <xdr:cNvPr id="17" name="Graphic 16" descr="Gauge">
          <a:extLst>
            <a:ext uri="{FF2B5EF4-FFF2-40B4-BE49-F238E27FC236}">
              <a16:creationId xmlns:a16="http://schemas.microsoft.com/office/drawing/2014/main" id="{7178D42A-8CA1-41CC-93BD-D04C5D2F6B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40580" y="1424940"/>
          <a:ext cx="601980" cy="601980"/>
        </a:xfrm>
        <a:prstGeom prst="rect">
          <a:avLst/>
        </a:prstGeom>
      </xdr:spPr>
    </xdr:pic>
    <xdr:clientData/>
  </xdr:twoCellAnchor>
  <xdr:twoCellAnchor editAs="oneCell">
    <xdr:from>
      <xdr:col>10</xdr:col>
      <xdr:colOff>401460</xdr:colOff>
      <xdr:row>8</xdr:row>
      <xdr:rowOff>86640</xdr:rowOff>
    </xdr:from>
    <xdr:to>
      <xdr:col>11</xdr:col>
      <xdr:colOff>304800</xdr:colOff>
      <xdr:row>11</xdr:row>
      <xdr:rowOff>134760</xdr:rowOff>
    </xdr:to>
    <xdr:pic>
      <xdr:nvPicPr>
        <xdr:cNvPr id="19" name="Graphic 18" descr="Bullseye">
          <a:extLst>
            <a:ext uri="{FF2B5EF4-FFF2-40B4-BE49-F238E27FC236}">
              <a16:creationId xmlns:a16="http://schemas.microsoft.com/office/drawing/2014/main" id="{02C51C08-248F-4A2D-AB72-7210B736D03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107060" y="1488720"/>
          <a:ext cx="573900" cy="573900"/>
        </a:xfrm>
        <a:prstGeom prst="rect">
          <a:avLst/>
        </a:prstGeom>
      </xdr:spPr>
    </xdr:pic>
    <xdr:clientData/>
  </xdr:twoCellAnchor>
  <xdr:twoCellAnchor editAs="oneCell">
    <xdr:from>
      <xdr:col>3</xdr:col>
      <xdr:colOff>117120</xdr:colOff>
      <xdr:row>7</xdr:row>
      <xdr:rowOff>129540</xdr:rowOff>
    </xdr:from>
    <xdr:to>
      <xdr:col>4</xdr:col>
      <xdr:colOff>135180</xdr:colOff>
      <xdr:row>11</xdr:row>
      <xdr:rowOff>117120</xdr:rowOff>
    </xdr:to>
    <xdr:pic>
      <xdr:nvPicPr>
        <xdr:cNvPr id="21" name="Graphic 20" descr="Users">
          <a:extLst>
            <a:ext uri="{FF2B5EF4-FFF2-40B4-BE49-F238E27FC236}">
              <a16:creationId xmlns:a16="http://schemas.microsoft.com/office/drawing/2014/main" id="{6600D741-DAAA-4A24-B377-6FA343A6FFC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128800" y="1356360"/>
          <a:ext cx="688620" cy="688620"/>
        </a:xfrm>
        <a:prstGeom prst="rect">
          <a:avLst/>
        </a:prstGeom>
      </xdr:spPr>
    </xdr:pic>
    <xdr:clientData/>
  </xdr:twoCellAnchor>
  <xdr:twoCellAnchor editAs="oneCell">
    <xdr:from>
      <xdr:col>18</xdr:col>
      <xdr:colOff>53760</xdr:colOff>
      <xdr:row>7</xdr:row>
      <xdr:rowOff>152820</xdr:rowOff>
    </xdr:from>
    <xdr:to>
      <xdr:col>19</xdr:col>
      <xdr:colOff>22860</xdr:colOff>
      <xdr:row>11</xdr:row>
      <xdr:rowOff>91440</xdr:rowOff>
    </xdr:to>
    <xdr:pic>
      <xdr:nvPicPr>
        <xdr:cNvPr id="23" name="Graphic 22" descr="Ribbon">
          <a:extLst>
            <a:ext uri="{FF2B5EF4-FFF2-40B4-BE49-F238E27FC236}">
              <a16:creationId xmlns:a16="http://schemas.microsoft.com/office/drawing/2014/main" id="{EBB0CE77-9F3B-49DD-8997-F3FDB1922A1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123840" y="1379640"/>
          <a:ext cx="639660" cy="639660"/>
        </a:xfrm>
        <a:prstGeom prst="rect">
          <a:avLst/>
        </a:prstGeom>
      </xdr:spPr>
    </xdr:pic>
    <xdr:clientData/>
  </xdr:twoCellAnchor>
  <xdr:twoCellAnchor editAs="oneCell">
    <xdr:from>
      <xdr:col>14</xdr:col>
      <xdr:colOff>266700</xdr:colOff>
      <xdr:row>8</xdr:row>
      <xdr:rowOff>76200</xdr:rowOff>
    </xdr:from>
    <xdr:to>
      <xdr:col>15</xdr:col>
      <xdr:colOff>160020</xdr:colOff>
      <xdr:row>11</xdr:row>
      <xdr:rowOff>114300</xdr:rowOff>
    </xdr:to>
    <xdr:pic>
      <xdr:nvPicPr>
        <xdr:cNvPr id="25" name="Graphic 24" descr="Checklist">
          <a:extLst>
            <a:ext uri="{FF2B5EF4-FFF2-40B4-BE49-F238E27FC236}">
              <a16:creationId xmlns:a16="http://schemas.microsoft.com/office/drawing/2014/main" id="{02E83482-7615-4097-896F-4FBB7FB9DB6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654540" y="1478280"/>
          <a:ext cx="563880" cy="563880"/>
        </a:xfrm>
        <a:prstGeom prst="rect">
          <a:avLst/>
        </a:prstGeom>
      </xdr:spPr>
    </xdr:pic>
    <xdr:clientData/>
  </xdr:twoCellAnchor>
  <xdr:twoCellAnchor>
    <xdr:from>
      <xdr:col>4</xdr:col>
      <xdr:colOff>373380</xdr:colOff>
      <xdr:row>7</xdr:row>
      <xdr:rowOff>144780</xdr:rowOff>
    </xdr:from>
    <xdr:to>
      <xdr:col>5</xdr:col>
      <xdr:colOff>533400</xdr:colOff>
      <xdr:row>11</xdr:row>
      <xdr:rowOff>99060</xdr:rowOff>
    </xdr:to>
    <xdr:sp macro="" textlink="'Pivot Table'!B4">
      <xdr:nvSpPr>
        <xdr:cNvPr id="26" name="TextBox 25">
          <a:extLst>
            <a:ext uri="{FF2B5EF4-FFF2-40B4-BE49-F238E27FC236}">
              <a16:creationId xmlns:a16="http://schemas.microsoft.com/office/drawing/2014/main" id="{B5F42CC7-CB95-4EE8-BEBE-369BE766C587}"/>
            </a:ext>
          </a:extLst>
        </xdr:cNvPr>
        <xdr:cNvSpPr txBox="1"/>
      </xdr:nvSpPr>
      <xdr:spPr>
        <a:xfrm>
          <a:off x="3055620" y="1371600"/>
          <a:ext cx="83058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C5BF19-BC7B-4455-935F-FCFAFDAF1640}" type="TxLink">
            <a:rPr lang="en-US" sz="3600" b="1" i="0" u="none" strike="noStrike">
              <a:solidFill>
                <a:schemeClr val="accent3">
                  <a:lumMod val="75000"/>
                </a:schemeClr>
              </a:solidFill>
              <a:latin typeface="Aptos Narrow"/>
            </a:rPr>
            <a:pPr/>
            <a:t>89</a:t>
          </a:fld>
          <a:endParaRPr lang="en-GB" sz="3600" b="1">
            <a:solidFill>
              <a:schemeClr val="accent3">
                <a:lumMod val="75000"/>
              </a:schemeClr>
            </a:solidFill>
          </a:endParaRPr>
        </a:p>
      </xdr:txBody>
    </xdr:sp>
    <xdr:clientData/>
  </xdr:twoCellAnchor>
  <xdr:twoCellAnchor>
    <xdr:from>
      <xdr:col>19</xdr:col>
      <xdr:colOff>128103</xdr:colOff>
      <xdr:row>7</xdr:row>
      <xdr:rowOff>170290</xdr:rowOff>
    </xdr:from>
    <xdr:to>
      <xdr:col>21</xdr:col>
      <xdr:colOff>287129</xdr:colOff>
      <xdr:row>11</xdr:row>
      <xdr:rowOff>48370</xdr:rowOff>
    </xdr:to>
    <xdr:sp macro="" textlink="'Pivot Table'!B8">
      <xdr:nvSpPr>
        <xdr:cNvPr id="27" name="TextBox 26">
          <a:extLst>
            <a:ext uri="{FF2B5EF4-FFF2-40B4-BE49-F238E27FC236}">
              <a16:creationId xmlns:a16="http://schemas.microsoft.com/office/drawing/2014/main" id="{412E9842-0B00-4EE6-96F4-19386C4519F2}"/>
            </a:ext>
          </a:extLst>
        </xdr:cNvPr>
        <xdr:cNvSpPr txBox="1"/>
      </xdr:nvSpPr>
      <xdr:spPr>
        <a:xfrm>
          <a:off x="12927494" y="1407160"/>
          <a:ext cx="1506331" cy="584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E4F79-4CC1-42E6-AC44-52D7153634E8}" type="TxLink">
            <a:rPr lang="en-US" sz="4000" b="1" i="0" u="none" strike="noStrike">
              <a:solidFill>
                <a:schemeClr val="accent3">
                  <a:lumMod val="75000"/>
                </a:schemeClr>
              </a:solidFill>
              <a:latin typeface="Aptos Narrow"/>
            </a:rPr>
            <a:pPr/>
            <a:t>88.8%</a:t>
          </a:fld>
          <a:endParaRPr lang="en-GB" sz="9600" b="1">
            <a:solidFill>
              <a:schemeClr val="accent3">
                <a:lumMod val="75000"/>
              </a:schemeClr>
            </a:solidFill>
          </a:endParaRPr>
        </a:p>
      </xdr:txBody>
    </xdr:sp>
    <xdr:clientData/>
  </xdr:twoCellAnchor>
  <xdr:twoCellAnchor>
    <xdr:from>
      <xdr:col>11</xdr:col>
      <xdr:colOff>434340</xdr:colOff>
      <xdr:row>8</xdr:row>
      <xdr:rowOff>22860</xdr:rowOff>
    </xdr:from>
    <xdr:to>
      <xdr:col>13</xdr:col>
      <xdr:colOff>480060</xdr:colOff>
      <xdr:row>11</xdr:row>
      <xdr:rowOff>15240</xdr:rowOff>
    </xdr:to>
    <xdr:sp macro="" textlink="'Pivot Table'!B6">
      <xdr:nvSpPr>
        <xdr:cNvPr id="28" name="TextBox 27">
          <a:extLst>
            <a:ext uri="{FF2B5EF4-FFF2-40B4-BE49-F238E27FC236}">
              <a16:creationId xmlns:a16="http://schemas.microsoft.com/office/drawing/2014/main" id="{0DD01F9D-34E4-4089-98F0-B36866E52535}"/>
            </a:ext>
          </a:extLst>
        </xdr:cNvPr>
        <xdr:cNvSpPr txBox="1"/>
      </xdr:nvSpPr>
      <xdr:spPr>
        <a:xfrm>
          <a:off x="7810500" y="1424940"/>
          <a:ext cx="1386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49AE4D-978B-4309-BF15-B8A0F7E4516F}" type="TxLink">
            <a:rPr lang="en-US" sz="3600" b="1" i="0" u="none" strike="noStrike">
              <a:solidFill>
                <a:schemeClr val="accent3">
                  <a:lumMod val="75000"/>
                </a:schemeClr>
              </a:solidFill>
              <a:latin typeface="Aptos Narrow"/>
            </a:rPr>
            <a:pPr/>
            <a:t>90.6%</a:t>
          </a:fld>
          <a:endParaRPr lang="en-GB" sz="5400" b="1">
            <a:solidFill>
              <a:schemeClr val="accent3">
                <a:lumMod val="75000"/>
              </a:schemeClr>
            </a:solidFill>
          </a:endParaRPr>
        </a:p>
      </xdr:txBody>
    </xdr:sp>
    <xdr:clientData/>
  </xdr:twoCellAnchor>
  <xdr:twoCellAnchor>
    <xdr:from>
      <xdr:col>15</xdr:col>
      <xdr:colOff>335280</xdr:colOff>
      <xdr:row>8</xdr:row>
      <xdr:rowOff>7620</xdr:rowOff>
    </xdr:from>
    <xdr:to>
      <xdr:col>17</xdr:col>
      <xdr:colOff>289560</xdr:colOff>
      <xdr:row>11</xdr:row>
      <xdr:rowOff>15240</xdr:rowOff>
    </xdr:to>
    <xdr:sp macro="" textlink="'Pivot Table'!B7">
      <xdr:nvSpPr>
        <xdr:cNvPr id="29" name="TextBox 28">
          <a:extLst>
            <a:ext uri="{FF2B5EF4-FFF2-40B4-BE49-F238E27FC236}">
              <a16:creationId xmlns:a16="http://schemas.microsoft.com/office/drawing/2014/main" id="{CC55813D-8CAB-466B-B653-556AE79DB7BB}"/>
            </a:ext>
          </a:extLst>
        </xdr:cNvPr>
        <xdr:cNvSpPr txBox="1"/>
      </xdr:nvSpPr>
      <xdr:spPr>
        <a:xfrm>
          <a:off x="10393680" y="1409700"/>
          <a:ext cx="12954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5A3169-C407-41F4-B428-E5F3294A7EB8}" type="TxLink">
            <a:rPr lang="en-US" sz="3600" b="1" i="0" u="none" strike="noStrike">
              <a:solidFill>
                <a:schemeClr val="accent3">
                  <a:lumMod val="75000"/>
                </a:schemeClr>
              </a:solidFill>
              <a:latin typeface="Aptos Narrow"/>
            </a:rPr>
            <a:pPr/>
            <a:t>1177</a:t>
          </a:fld>
          <a:endParaRPr lang="en-GB" sz="3600" b="1">
            <a:solidFill>
              <a:schemeClr val="accent3">
                <a:lumMod val="75000"/>
              </a:schemeClr>
            </a:solidFill>
          </a:endParaRPr>
        </a:p>
      </xdr:txBody>
    </xdr:sp>
    <xdr:clientData/>
  </xdr:twoCellAnchor>
  <xdr:twoCellAnchor>
    <xdr:from>
      <xdr:col>8</xdr:col>
      <xdr:colOff>68580</xdr:colOff>
      <xdr:row>7</xdr:row>
      <xdr:rowOff>160020</xdr:rowOff>
    </xdr:from>
    <xdr:to>
      <xdr:col>10</xdr:col>
      <xdr:colOff>106680</xdr:colOff>
      <xdr:row>11</xdr:row>
      <xdr:rowOff>160020</xdr:rowOff>
    </xdr:to>
    <xdr:sp macro="" textlink="'Pivot Table'!B5">
      <xdr:nvSpPr>
        <xdr:cNvPr id="30" name="TextBox 29">
          <a:extLst>
            <a:ext uri="{FF2B5EF4-FFF2-40B4-BE49-F238E27FC236}">
              <a16:creationId xmlns:a16="http://schemas.microsoft.com/office/drawing/2014/main" id="{4FC67A35-6FFB-4175-9B5C-049452016449}"/>
            </a:ext>
          </a:extLst>
        </xdr:cNvPr>
        <xdr:cNvSpPr txBox="1"/>
      </xdr:nvSpPr>
      <xdr:spPr>
        <a:xfrm>
          <a:off x="5433060" y="1386840"/>
          <a:ext cx="13792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303EFC-AD9D-470B-B923-B011EEC555B7}" type="TxLink">
            <a:rPr lang="en-US" sz="3600" b="1" i="0" u="none" strike="noStrike">
              <a:solidFill>
                <a:schemeClr val="accent3">
                  <a:lumMod val="75000"/>
                </a:schemeClr>
              </a:solidFill>
              <a:latin typeface="Aptos Narrow"/>
            </a:rPr>
            <a:pPr/>
            <a:t>91.9%</a:t>
          </a:fld>
          <a:endParaRPr lang="en-GB" sz="3600" b="1">
            <a:solidFill>
              <a:schemeClr val="accent3">
                <a:lumMod val="75000"/>
              </a:schemeClr>
            </a:solidFill>
          </a:endParaRPr>
        </a:p>
      </xdr:txBody>
    </xdr:sp>
    <xdr:clientData/>
  </xdr:twoCellAnchor>
  <xdr:twoCellAnchor>
    <xdr:from>
      <xdr:col>3</xdr:col>
      <xdr:colOff>18506</xdr:colOff>
      <xdr:row>12</xdr:row>
      <xdr:rowOff>119743</xdr:rowOff>
    </xdr:from>
    <xdr:to>
      <xdr:col>8</xdr:col>
      <xdr:colOff>609601</xdr:colOff>
      <xdr:row>25</xdr:row>
      <xdr:rowOff>65314</xdr:rowOff>
    </xdr:to>
    <xdr:graphicFrame macro="">
      <xdr:nvGraphicFramePr>
        <xdr:cNvPr id="37" name="Chart 36">
          <a:extLst>
            <a:ext uri="{FF2B5EF4-FFF2-40B4-BE49-F238E27FC236}">
              <a16:creationId xmlns:a16="http://schemas.microsoft.com/office/drawing/2014/main" id="{E6B1F6B1-75CD-4409-8705-27C0DE31F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32657</xdr:colOff>
      <xdr:row>12</xdr:row>
      <xdr:rowOff>108857</xdr:rowOff>
    </xdr:from>
    <xdr:to>
      <xdr:col>14</xdr:col>
      <xdr:colOff>533400</xdr:colOff>
      <xdr:row>25</xdr:row>
      <xdr:rowOff>97971</xdr:rowOff>
    </xdr:to>
    <xdr:graphicFrame macro="">
      <xdr:nvGraphicFramePr>
        <xdr:cNvPr id="38" name="Chart 37">
          <a:extLst>
            <a:ext uri="{FF2B5EF4-FFF2-40B4-BE49-F238E27FC236}">
              <a16:creationId xmlns:a16="http://schemas.microsoft.com/office/drawing/2014/main" id="{549225D1-9539-4743-9285-DCE8811A6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631371</xdr:colOff>
      <xdr:row>12</xdr:row>
      <xdr:rowOff>119742</xdr:rowOff>
    </xdr:from>
    <xdr:to>
      <xdr:col>21</xdr:col>
      <xdr:colOff>413657</xdr:colOff>
      <xdr:row>25</xdr:row>
      <xdr:rowOff>97971</xdr:rowOff>
    </xdr:to>
    <xdr:graphicFrame macro="">
      <xdr:nvGraphicFramePr>
        <xdr:cNvPr id="39" name="Chart 38">
          <a:extLst>
            <a:ext uri="{FF2B5EF4-FFF2-40B4-BE49-F238E27FC236}">
              <a16:creationId xmlns:a16="http://schemas.microsoft.com/office/drawing/2014/main" id="{8E5555C9-272D-4724-8EFA-2B6A9D54C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32657</xdr:colOff>
      <xdr:row>25</xdr:row>
      <xdr:rowOff>152398</xdr:rowOff>
    </xdr:from>
    <xdr:to>
      <xdr:col>9</xdr:col>
      <xdr:colOff>108856</xdr:colOff>
      <xdr:row>42</xdr:row>
      <xdr:rowOff>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F0D3C1A-064F-4816-8E33-7770746FB3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044337" y="4533898"/>
              <a:ext cx="4099559" cy="282702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239484</xdr:colOff>
      <xdr:row>26</xdr:row>
      <xdr:rowOff>10887</xdr:rowOff>
    </xdr:from>
    <xdr:to>
      <xdr:col>15</xdr:col>
      <xdr:colOff>435428</xdr:colOff>
      <xdr:row>42</xdr:row>
      <xdr:rowOff>27709</xdr:rowOff>
    </xdr:to>
    <xdr:graphicFrame macro="">
      <xdr:nvGraphicFramePr>
        <xdr:cNvPr id="42" name="Chart 41">
          <a:extLst>
            <a:ext uri="{FF2B5EF4-FFF2-40B4-BE49-F238E27FC236}">
              <a16:creationId xmlns:a16="http://schemas.microsoft.com/office/drawing/2014/main" id="{262642B4-E41F-4C9C-A6FE-3FF889AAE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10</xdr:col>
      <xdr:colOff>381000</xdr:colOff>
      <xdr:row>26</xdr:row>
      <xdr:rowOff>21771</xdr:rowOff>
    </xdr:from>
    <xdr:ext cx="2486706" cy="515013"/>
    <xdr:sp macro="" textlink="">
      <xdr:nvSpPr>
        <xdr:cNvPr id="16" name="TextBox 15">
          <a:extLst>
            <a:ext uri="{FF2B5EF4-FFF2-40B4-BE49-F238E27FC236}">
              <a16:creationId xmlns:a16="http://schemas.microsoft.com/office/drawing/2014/main" id="{3F3A9E35-283A-4A4F-91C1-5FD4576016EE}"/>
            </a:ext>
          </a:extLst>
        </xdr:cNvPr>
        <xdr:cNvSpPr txBox="1"/>
      </xdr:nvSpPr>
      <xdr:spPr>
        <a:xfrm>
          <a:off x="7130143" y="4550228"/>
          <a:ext cx="2486706" cy="515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tx1">
                  <a:lumMod val="85000"/>
                  <a:lumOff val="15000"/>
                </a:schemeClr>
              </a:solidFill>
            </a:rPr>
            <a:t>Task Completion by Month</a:t>
          </a:r>
        </a:p>
        <a:p>
          <a:endParaRPr lang="en-GB" sz="1100"/>
        </a:p>
      </xdr:txBody>
    </xdr:sp>
    <xdr:clientData/>
  </xdr:oneCellAnchor>
  <xdr:twoCellAnchor>
    <xdr:from>
      <xdr:col>15</xdr:col>
      <xdr:colOff>522515</xdr:colOff>
      <xdr:row>26</xdr:row>
      <xdr:rowOff>21772</xdr:rowOff>
    </xdr:from>
    <xdr:to>
      <xdr:col>21</xdr:col>
      <xdr:colOff>359228</xdr:colOff>
      <xdr:row>42</xdr:row>
      <xdr:rowOff>27709</xdr:rowOff>
    </xdr:to>
    <xdr:graphicFrame macro="">
      <xdr:nvGraphicFramePr>
        <xdr:cNvPr id="44" name="Chart 43">
          <a:extLst>
            <a:ext uri="{FF2B5EF4-FFF2-40B4-BE49-F238E27FC236}">
              <a16:creationId xmlns:a16="http://schemas.microsoft.com/office/drawing/2014/main" id="{51CE760B-2A3B-45EC-9386-CCEF31F36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425804</xdr:colOff>
      <xdr:row>28</xdr:row>
      <xdr:rowOff>31396</xdr:rowOff>
    </xdr:from>
    <xdr:to>
      <xdr:col>2</xdr:col>
      <xdr:colOff>375479</xdr:colOff>
      <xdr:row>39</xdr:row>
      <xdr:rowOff>131891</xdr:rowOff>
    </xdr:to>
    <mc:AlternateContent xmlns:mc="http://schemas.openxmlformats.org/markup-compatibility/2006">
      <mc:Choice xmlns:a14="http://schemas.microsoft.com/office/drawing/2010/main" Requires="a14">
        <xdr:graphicFrame macro="">
          <xdr:nvGraphicFramePr>
            <xdr:cNvPr id="45" name="Department">
              <a:extLst>
                <a:ext uri="{FF2B5EF4-FFF2-40B4-BE49-F238E27FC236}">
                  <a16:creationId xmlns:a16="http://schemas.microsoft.com/office/drawing/2014/main" id="{1CC4FCC0-C01D-41A7-A7D9-EA3E5DA674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25804" y="4938676"/>
              <a:ext cx="1290795" cy="20283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393921</xdr:colOff>
      <xdr:row>9</xdr:row>
      <xdr:rowOff>165324</xdr:rowOff>
    </xdr:from>
    <xdr:to>
      <xdr:col>2</xdr:col>
      <xdr:colOff>342349</xdr:colOff>
      <xdr:row>18</xdr:row>
      <xdr:rowOff>41966</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92AB52E0-1293-450F-8659-BB38087DA5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3921" y="1742664"/>
              <a:ext cx="1289548" cy="14539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408609</xdr:colOff>
      <xdr:row>19</xdr:row>
      <xdr:rowOff>101410</xdr:rowOff>
    </xdr:from>
    <xdr:to>
      <xdr:col>2</xdr:col>
      <xdr:colOff>375477</xdr:colOff>
      <xdr:row>26</xdr:row>
      <xdr:rowOff>99234</xdr:rowOff>
    </xdr:to>
    <mc:AlternateContent xmlns:mc="http://schemas.openxmlformats.org/markup-compatibility/2006">
      <mc:Choice xmlns:a14="http://schemas.microsoft.com/office/drawing/2010/main" Requires="a14">
        <xdr:graphicFrame macro="">
          <xdr:nvGraphicFramePr>
            <xdr:cNvPr id="47" name="Performance Status">
              <a:extLst>
                <a:ext uri="{FF2B5EF4-FFF2-40B4-BE49-F238E27FC236}">
                  <a16:creationId xmlns:a16="http://schemas.microsoft.com/office/drawing/2014/main" id="{838B630C-34EA-4EB2-84AC-6570598BBF75}"/>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dr:sp macro="" textlink="">
          <xdr:nvSpPr>
            <xdr:cNvPr id="0" name=""/>
            <xdr:cNvSpPr>
              <a:spLocks noTextEdit="1"/>
            </xdr:cNvSpPr>
          </xdr:nvSpPr>
          <xdr:spPr>
            <a:xfrm>
              <a:off x="408609" y="3431350"/>
              <a:ext cx="1307988" cy="12246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500744</xdr:colOff>
      <xdr:row>2</xdr:row>
      <xdr:rowOff>21770</xdr:rowOff>
    </xdr:from>
    <xdr:to>
      <xdr:col>2</xdr:col>
      <xdr:colOff>293914</xdr:colOff>
      <xdr:row>8</xdr:row>
      <xdr:rowOff>119741</xdr:rowOff>
    </xdr:to>
    <xdr:pic>
      <xdr:nvPicPr>
        <xdr:cNvPr id="50" name="Graphic 49" descr="Research">
          <a:extLst>
            <a:ext uri="{FF2B5EF4-FFF2-40B4-BE49-F238E27FC236}">
              <a16:creationId xmlns:a16="http://schemas.microsoft.com/office/drawing/2014/main" id="{A35D019D-5732-4B55-BF0F-78D12D6220B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00744" y="370113"/>
          <a:ext cx="1142999" cy="1142999"/>
        </a:xfrm>
        <a:prstGeom prst="rect">
          <a:avLst/>
        </a:prstGeom>
      </xdr:spPr>
    </xdr:pic>
    <xdr:clientData/>
  </xdr:twoCellAnchor>
  <xdr:twoCellAnchor editAs="oneCell">
    <xdr:from>
      <xdr:col>19</xdr:col>
      <xdr:colOff>568292</xdr:colOff>
      <xdr:row>1</xdr:row>
      <xdr:rowOff>107481</xdr:rowOff>
    </xdr:from>
    <xdr:to>
      <xdr:col>20</xdr:col>
      <xdr:colOff>638476</xdr:colOff>
      <xdr:row>5</xdr:row>
      <xdr:rowOff>167638</xdr:rowOff>
    </xdr:to>
    <xdr:pic macro="[0]!Module4.swtchprg">
      <xdr:nvPicPr>
        <xdr:cNvPr id="20" name="Graphic 19" descr="Monitor">
          <a:extLst>
            <a:ext uri="{FF2B5EF4-FFF2-40B4-BE49-F238E27FC236}">
              <a16:creationId xmlns:a16="http://schemas.microsoft.com/office/drawing/2014/main" id="{5EAA390C-36C0-40EA-B864-21773D3D020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3308932" y="282741"/>
          <a:ext cx="740744" cy="761197"/>
        </a:xfrm>
        <a:prstGeom prst="rect">
          <a:avLst/>
        </a:prstGeom>
      </xdr:spPr>
    </xdr:pic>
    <xdr:clientData/>
  </xdr:twoCellAnchor>
  <xdr:oneCellAnchor>
    <xdr:from>
      <xdr:col>18</xdr:col>
      <xdr:colOff>297180</xdr:colOff>
      <xdr:row>1</xdr:row>
      <xdr:rowOff>144780</xdr:rowOff>
    </xdr:from>
    <xdr:ext cx="819968" cy="264560"/>
    <xdr:sp macro="" textlink="">
      <xdr:nvSpPr>
        <xdr:cNvPr id="22" name="TextBox 21">
          <a:extLst>
            <a:ext uri="{FF2B5EF4-FFF2-40B4-BE49-F238E27FC236}">
              <a16:creationId xmlns:a16="http://schemas.microsoft.com/office/drawing/2014/main" id="{7D1B7208-0B44-4D2A-8914-F5D00F4206A5}"/>
            </a:ext>
          </a:extLst>
        </xdr:cNvPr>
        <xdr:cNvSpPr txBox="1"/>
      </xdr:nvSpPr>
      <xdr:spPr>
        <a:xfrm>
          <a:off x="12367260" y="320040"/>
          <a:ext cx="81996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i="1">
              <a:solidFill>
                <a:schemeClr val="bg1"/>
              </a:solidFill>
            </a:rPr>
            <a:t>Full Screen</a:t>
          </a:r>
        </a:p>
      </xdr:txBody>
    </xdr:sp>
    <xdr:clientData/>
  </xdr:oneCellAnchor>
  <xdr:twoCellAnchor>
    <xdr:from>
      <xdr:col>18</xdr:col>
      <xdr:colOff>624840</xdr:colOff>
      <xdr:row>3</xdr:row>
      <xdr:rowOff>34290</xdr:rowOff>
    </xdr:from>
    <xdr:to>
      <xdr:col>19</xdr:col>
      <xdr:colOff>541020</xdr:colOff>
      <xdr:row>4</xdr:row>
      <xdr:rowOff>22860</xdr:rowOff>
    </xdr:to>
    <xdr:sp macro="" textlink="">
      <xdr:nvSpPr>
        <xdr:cNvPr id="24" name="Arrow: Bent-Up 23">
          <a:extLst>
            <a:ext uri="{FF2B5EF4-FFF2-40B4-BE49-F238E27FC236}">
              <a16:creationId xmlns:a16="http://schemas.microsoft.com/office/drawing/2014/main" id="{D75BA10F-E4A9-43C6-B3D0-C43BBDEFD670}"/>
            </a:ext>
          </a:extLst>
        </xdr:cNvPr>
        <xdr:cNvSpPr/>
      </xdr:nvSpPr>
      <xdr:spPr>
        <a:xfrm rot="16200000" flipH="1" flipV="1">
          <a:off x="12906375" y="348615"/>
          <a:ext cx="163830" cy="586740"/>
        </a:xfrm>
        <a:prstGeom prst="bentUpArrow">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1.990721527778" createdVersion="6" refreshedVersion="6" minRefreshableVersion="3" recordCount="89" xr:uid="{DBBEE5BD-30DF-4AD7-BBDA-E26620B728E1}">
  <cacheSource type="worksheet">
    <worksheetSource name="Table1"/>
  </cacheSource>
  <cacheFields count="18">
    <cacheField name="Date" numFmtId="15">
      <sharedItems containsSemiMixedTypes="0" containsNonDate="0" containsDate="1" containsString="0" minDate="2026-01-01T00:00:00" maxDate="2026-07-19T00:00:00"/>
    </cacheField>
    <cacheField name="Month" numFmtId="0">
      <sharedItems count="7">
        <s v="Jan"/>
        <s v="Feb"/>
        <s v="Mar"/>
        <s v="Apr"/>
        <s v="May"/>
        <s v="Jun"/>
        <s v="Jul"/>
      </sharedItems>
    </cacheField>
    <cacheField name="Emp ID" numFmtId="0">
      <sharedItems count="20">
        <s v="EMP001"/>
        <s v="EMP002"/>
        <s v="EMP003"/>
        <s v="EMP004"/>
        <s v="EMP005"/>
        <s v="EMP006"/>
        <s v="EMP007"/>
        <s v="EMP008"/>
        <s v="EMP009"/>
        <s v="EMP010"/>
        <s v="EMP012"/>
        <s v="EMP013"/>
        <s v="EMP014"/>
        <s v="EMP015"/>
        <s v="EMP016"/>
        <s v="EMP017"/>
        <s v="EMP018"/>
        <s v="EMP020"/>
        <s v="EMP011"/>
        <s v="EMP019"/>
      </sharedItems>
    </cacheField>
    <cacheField name="Employee Name" numFmtId="0">
      <sharedItems count="20">
        <s v="James Smith"/>
        <s v="Mary Johnson"/>
        <s v="Robert Williams"/>
        <s v="Jennifer Brown"/>
        <s v="Michael Jones"/>
        <s v="Linda Garcia"/>
        <s v="David Miller"/>
        <s v="Sarah Davis"/>
        <s v="John Rodriguez"/>
        <s v="Emily Martinez"/>
        <s v="Jessica Lopez"/>
        <s v="Christopher Wilson"/>
        <s v="Amanda Anderson"/>
        <s v="Matthew Taylor"/>
        <s v="Ashley Thomas"/>
        <s v="Andrew Moore"/>
        <s v="Olivia Jackson"/>
        <s v="Sophia Lee"/>
        <s v="Daniel Hernandez"/>
        <s v="Joshua Marti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acheField>
    <cacheField name="Completed Tasks" numFmtId="0">
      <sharedItems containsSemiMixedTypes="0" containsString="0" containsNumber="1" containsInteger="1" minValue="5" maxValue="23"/>
    </cacheField>
    <cacheField name="Pending Tasks" numFmtId="0">
      <sharedItems containsSemiMixedTypes="0" containsString="0" containsNumber="1" containsInteger="1" minValue="0" maxValue="70"/>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10">
      <sharedItems containsSemiMixedTypes="0" containsString="0" containsNumber="1" minValue="0.57399999999999995" maxValue="1"/>
    </cacheField>
    <cacheField name="Quality Score %" numFmtId="10">
      <sharedItems containsSemiMixedTypes="0" containsString="0" containsNumber="1" minValue="0.55400000000000005" maxValue="1"/>
    </cacheField>
    <cacheField name="Achievement %" numFmtId="10">
      <sharedItems containsSemiMixedTypes="0" containsString="0" containsNumber="1" minValue="0.60099999999999998" maxValue="1"/>
    </cacheField>
    <cacheField name="Performance Status" numFmtId="0">
      <sharedItems count="3">
        <s v="High Performer"/>
        <s v="On Track"/>
        <s v="Needs Improvement"/>
      </sharedItems>
    </cacheField>
  </cacheFields>
  <extLst>
    <ext xmlns:x14="http://schemas.microsoft.com/office/spreadsheetml/2009/9/main" uri="{725AE2AE-9491-48be-B2B4-4EB974FC3084}">
      <x14:pivotCacheDefinition pivotCacheId="622293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d v="2026-01-01T00:00:00"/>
    <x v="0"/>
    <x v="0"/>
    <x v="0"/>
    <x v="0"/>
    <x v="0"/>
    <n v="22"/>
    <x v="0"/>
    <n v="8"/>
    <n v="10"/>
    <n v="0"/>
    <n v="8"/>
    <n v="8.5"/>
    <n v="0.5"/>
    <n v="1"/>
    <n v="0.91100000000000003"/>
    <n v="0.96399999999999997"/>
    <x v="0"/>
  </r>
  <r>
    <d v="2026-01-03T00:00:00"/>
    <x v="0"/>
    <x v="1"/>
    <x v="1"/>
    <x v="0"/>
    <x v="1"/>
    <n v="20"/>
    <x v="1"/>
    <n v="19"/>
    <n v="20"/>
    <n v="0"/>
    <n v="7"/>
    <n v="6.8"/>
    <n v="0"/>
    <n v="1"/>
    <n v="0.88700000000000001"/>
    <n v="0.95499999999999996"/>
    <x v="0"/>
  </r>
  <r>
    <d v="2026-01-05T00:00:00"/>
    <x v="0"/>
    <x v="2"/>
    <x v="2"/>
    <x v="1"/>
    <x v="2"/>
    <n v="20"/>
    <x v="0"/>
    <n v="11"/>
    <n v="12"/>
    <n v="0"/>
    <n v="9"/>
    <n v="9.6999999999999993"/>
    <n v="0.7"/>
    <n v="1"/>
    <n v="0.92400000000000004"/>
    <n v="0.97"/>
    <x v="0"/>
  </r>
  <r>
    <d v="2026-01-07T00:00:00"/>
    <x v="0"/>
    <x v="3"/>
    <x v="3"/>
    <x v="1"/>
    <x v="0"/>
    <n v="22"/>
    <x v="1"/>
    <n v="16"/>
    <n v="16"/>
    <n v="0"/>
    <n v="7"/>
    <n v="8.6999999999999993"/>
    <n v="1.7"/>
    <n v="0.99199999999999999"/>
    <n v="0.93300000000000005"/>
    <n v="0.96799999999999997"/>
    <x v="0"/>
  </r>
  <r>
    <d v="2026-01-09T00:00:00"/>
    <x v="0"/>
    <x v="4"/>
    <x v="4"/>
    <x v="2"/>
    <x v="3"/>
    <n v="20"/>
    <x v="0"/>
    <n v="19"/>
    <n v="19"/>
    <n v="0"/>
    <n v="8"/>
    <n v="7.7"/>
    <n v="0"/>
    <n v="0.96399999999999997"/>
    <n v="0.89100000000000001"/>
    <n v="0.93500000000000005"/>
    <x v="0"/>
  </r>
  <r>
    <d v="2026-01-11T00:00:00"/>
    <x v="0"/>
    <x v="5"/>
    <x v="5"/>
    <x v="2"/>
    <x v="1"/>
    <n v="21"/>
    <x v="0"/>
    <n v="9"/>
    <n v="9"/>
    <n v="10"/>
    <n v="7"/>
    <n v="6.7"/>
    <n v="0"/>
    <n v="0.97699999999999998"/>
    <n v="0.93300000000000005"/>
    <n v="0.95899999999999996"/>
    <x v="0"/>
  </r>
  <r>
    <d v="2026-01-13T00:00:00"/>
    <x v="0"/>
    <x v="6"/>
    <x v="6"/>
    <x v="3"/>
    <x v="2"/>
    <n v="21"/>
    <x v="0"/>
    <n v="19"/>
    <n v="19"/>
    <n v="0"/>
    <n v="9"/>
    <n v="10.7"/>
    <n v="1.7"/>
    <n v="0.94"/>
    <n v="1"/>
    <n v="0.96399999999999997"/>
    <x v="0"/>
  </r>
  <r>
    <d v="2026-01-15T00:00:00"/>
    <x v="0"/>
    <x v="7"/>
    <x v="7"/>
    <x v="3"/>
    <x v="0"/>
    <n v="20"/>
    <x v="2"/>
    <n v="12"/>
    <n v="15"/>
    <n v="0"/>
    <n v="9"/>
    <n v="9.8000000000000007"/>
    <n v="0.8"/>
    <n v="1"/>
    <n v="1"/>
    <n v="1"/>
    <x v="0"/>
  </r>
  <r>
    <d v="2026-01-17T00:00:00"/>
    <x v="0"/>
    <x v="8"/>
    <x v="8"/>
    <x v="4"/>
    <x v="3"/>
    <n v="22"/>
    <x v="0"/>
    <n v="19"/>
    <n v="16"/>
    <n v="30"/>
    <n v="7"/>
    <n v="6.5"/>
    <n v="0"/>
    <n v="0.86799999999999999"/>
    <n v="0.91800000000000004"/>
    <n v="0.88800000000000001"/>
    <x v="1"/>
  </r>
  <r>
    <d v="2026-01-19T00:00:00"/>
    <x v="0"/>
    <x v="9"/>
    <x v="9"/>
    <x v="4"/>
    <x v="2"/>
    <n v="20"/>
    <x v="0"/>
    <n v="9"/>
    <n v="9"/>
    <n v="40"/>
    <n v="8"/>
    <n v="8.6"/>
    <n v="0.6"/>
    <n v="0.99299999999999999"/>
    <n v="1"/>
    <n v="0.996"/>
    <x v="0"/>
  </r>
  <r>
    <d v="2026-01-23T00:00:00"/>
    <x v="0"/>
    <x v="10"/>
    <x v="10"/>
    <x v="5"/>
    <x v="0"/>
    <n v="22"/>
    <x v="0"/>
    <n v="17"/>
    <n v="19"/>
    <n v="0"/>
    <n v="7"/>
    <n v="6.5"/>
    <n v="0"/>
    <n v="1"/>
    <n v="0.93400000000000005"/>
    <n v="0.97399999999999998"/>
    <x v="0"/>
  </r>
  <r>
    <d v="2026-01-25T00:00:00"/>
    <x v="0"/>
    <x v="11"/>
    <x v="11"/>
    <x v="0"/>
    <x v="3"/>
    <n v="21"/>
    <x v="0"/>
    <n v="12"/>
    <n v="14"/>
    <n v="50"/>
    <n v="9"/>
    <n v="9.3000000000000007"/>
    <n v="0.3"/>
    <n v="1"/>
    <n v="1"/>
    <n v="1"/>
    <x v="0"/>
  </r>
  <r>
    <d v="2026-01-27T00:00:00"/>
    <x v="0"/>
    <x v="12"/>
    <x v="12"/>
    <x v="1"/>
    <x v="1"/>
    <n v="20"/>
    <x v="0"/>
    <n v="8"/>
    <n v="11"/>
    <n v="0"/>
    <n v="8"/>
    <n v="5.9"/>
    <n v="0"/>
    <n v="1"/>
    <n v="0.89500000000000002"/>
    <n v="0.95799999999999996"/>
    <x v="0"/>
  </r>
  <r>
    <d v="2026-01-29T00:00:00"/>
    <x v="0"/>
    <x v="13"/>
    <x v="13"/>
    <x v="2"/>
    <x v="2"/>
    <n v="22"/>
    <x v="1"/>
    <n v="13"/>
    <n v="11"/>
    <n v="2"/>
    <n v="9"/>
    <n v="7.1"/>
    <n v="0"/>
    <n v="0.84599999999999997"/>
    <n v="0.92100000000000004"/>
    <n v="0.876"/>
    <x v="1"/>
  </r>
  <r>
    <d v="2026-01-31T00:00:00"/>
    <x v="0"/>
    <x v="14"/>
    <x v="14"/>
    <x v="3"/>
    <x v="3"/>
    <n v="22"/>
    <x v="0"/>
    <n v="10"/>
    <n v="9"/>
    <n v="1"/>
    <n v="7"/>
    <n v="6.4"/>
    <n v="0"/>
    <n v="0.85899999999999999"/>
    <n v="0.86299999999999999"/>
    <n v="0.86099999999999999"/>
    <x v="1"/>
  </r>
  <r>
    <d v="2026-02-02T00:00:00"/>
    <x v="1"/>
    <x v="15"/>
    <x v="15"/>
    <x v="4"/>
    <x v="0"/>
    <n v="21"/>
    <x v="1"/>
    <n v="17"/>
    <n v="17"/>
    <n v="0"/>
    <n v="9"/>
    <n v="7.9"/>
    <n v="0"/>
    <n v="0.98399999999999999"/>
    <n v="0.91200000000000003"/>
    <n v="0.95499999999999996"/>
    <x v="0"/>
  </r>
  <r>
    <d v="2026-02-04T00:00:00"/>
    <x v="1"/>
    <x v="16"/>
    <x v="16"/>
    <x v="5"/>
    <x v="2"/>
    <n v="20"/>
    <x v="2"/>
    <n v="15"/>
    <n v="12"/>
    <n v="3"/>
    <n v="7"/>
    <n v="7.3"/>
    <n v="0.3"/>
    <n v="0.85799999999999998"/>
    <n v="0.77200000000000002"/>
    <n v="0.82399999999999995"/>
    <x v="1"/>
  </r>
  <r>
    <d v="2026-02-08T00:00:00"/>
    <x v="1"/>
    <x v="17"/>
    <x v="17"/>
    <x v="1"/>
    <x v="3"/>
    <n v="21"/>
    <x v="2"/>
    <n v="12"/>
    <n v="13"/>
    <n v="70"/>
    <n v="7"/>
    <n v="5.4"/>
    <n v="0"/>
    <n v="1"/>
    <n v="0.90500000000000003"/>
    <n v="0.96199999999999997"/>
    <x v="0"/>
  </r>
  <r>
    <d v="2026-02-10T00:00:00"/>
    <x v="1"/>
    <x v="0"/>
    <x v="0"/>
    <x v="0"/>
    <x v="0"/>
    <n v="22"/>
    <x v="0"/>
    <n v="20"/>
    <n v="22"/>
    <n v="0"/>
    <n v="8"/>
    <n v="9.6"/>
    <n v="1.6"/>
    <n v="1"/>
    <n v="0.97599999999999998"/>
    <n v="0.99"/>
    <x v="0"/>
  </r>
  <r>
    <d v="2026-02-12T00:00:00"/>
    <x v="1"/>
    <x v="1"/>
    <x v="1"/>
    <x v="0"/>
    <x v="1"/>
    <n v="21"/>
    <x v="0"/>
    <n v="19"/>
    <n v="21"/>
    <n v="0"/>
    <n v="8"/>
    <n v="7.8"/>
    <n v="0"/>
    <n v="1"/>
    <n v="1"/>
    <n v="1"/>
    <x v="0"/>
  </r>
  <r>
    <d v="2026-02-14T00:00:00"/>
    <x v="1"/>
    <x v="2"/>
    <x v="2"/>
    <x v="1"/>
    <x v="2"/>
    <n v="22"/>
    <x v="0"/>
    <n v="18"/>
    <n v="17"/>
    <n v="1"/>
    <n v="9"/>
    <n v="9.1"/>
    <n v="0.1"/>
    <n v="0.94599999999999995"/>
    <n v="0.87"/>
    <n v="0.91600000000000004"/>
    <x v="0"/>
  </r>
  <r>
    <d v="2026-02-16T00:00:00"/>
    <x v="1"/>
    <x v="3"/>
    <x v="3"/>
    <x v="1"/>
    <x v="0"/>
    <n v="21"/>
    <x v="0"/>
    <n v="16"/>
    <n v="19"/>
    <n v="0"/>
    <n v="9"/>
    <n v="7.4"/>
    <n v="0"/>
    <n v="1"/>
    <n v="1"/>
    <n v="1"/>
    <x v="0"/>
  </r>
  <r>
    <d v="2026-02-18T00:00:00"/>
    <x v="1"/>
    <x v="4"/>
    <x v="4"/>
    <x v="2"/>
    <x v="3"/>
    <n v="21"/>
    <x v="0"/>
    <n v="9"/>
    <n v="8"/>
    <n v="1"/>
    <n v="8"/>
    <n v="7.4"/>
    <n v="0"/>
    <n v="0.84699999999999998"/>
    <n v="0.78"/>
    <n v="0.82"/>
    <x v="1"/>
  </r>
  <r>
    <d v="2026-02-20T00:00:00"/>
    <x v="1"/>
    <x v="5"/>
    <x v="5"/>
    <x v="2"/>
    <x v="1"/>
    <n v="22"/>
    <x v="0"/>
    <n v="9"/>
    <n v="11"/>
    <n v="0"/>
    <n v="8"/>
    <n v="8.1"/>
    <n v="0.1"/>
    <n v="1"/>
    <n v="1"/>
    <n v="1"/>
    <x v="0"/>
  </r>
  <r>
    <d v="2026-02-22T00:00:00"/>
    <x v="1"/>
    <x v="6"/>
    <x v="6"/>
    <x v="3"/>
    <x v="2"/>
    <n v="22"/>
    <x v="0"/>
    <n v="10"/>
    <n v="12"/>
    <n v="0"/>
    <n v="8"/>
    <n v="6.7"/>
    <n v="0"/>
    <n v="1"/>
    <n v="0.91600000000000004"/>
    <n v="0.96599999999999997"/>
    <x v="0"/>
  </r>
  <r>
    <d v="2026-02-24T00:00:00"/>
    <x v="1"/>
    <x v="7"/>
    <x v="7"/>
    <x v="3"/>
    <x v="0"/>
    <n v="22"/>
    <x v="2"/>
    <n v="14"/>
    <n v="12"/>
    <n v="2"/>
    <n v="9"/>
    <n v="9.4"/>
    <n v="0.4"/>
    <n v="0.89800000000000002"/>
    <n v="0.93"/>
    <n v="0.91100000000000003"/>
    <x v="0"/>
  </r>
  <r>
    <d v="2026-02-28T00:00:00"/>
    <x v="1"/>
    <x v="9"/>
    <x v="9"/>
    <x v="4"/>
    <x v="2"/>
    <n v="21"/>
    <x v="0"/>
    <n v="11"/>
    <n v="9"/>
    <n v="2"/>
    <n v="7"/>
    <n v="6.7"/>
    <n v="0"/>
    <n v="0.79200000000000004"/>
    <n v="0.80100000000000005"/>
    <n v="0.79600000000000004"/>
    <x v="1"/>
  </r>
  <r>
    <d v="2026-03-02T00:00:00"/>
    <x v="2"/>
    <x v="18"/>
    <x v="18"/>
    <x v="5"/>
    <x v="1"/>
    <n v="20"/>
    <x v="2"/>
    <n v="11"/>
    <n v="8"/>
    <n v="3"/>
    <n v="7"/>
    <n v="6.3"/>
    <n v="0"/>
    <n v="0.76100000000000001"/>
    <n v="0.65400000000000003"/>
    <n v="0.71799999999999997"/>
    <x v="2"/>
  </r>
  <r>
    <d v="2026-03-04T00:00:00"/>
    <x v="2"/>
    <x v="10"/>
    <x v="10"/>
    <x v="5"/>
    <x v="0"/>
    <n v="20"/>
    <x v="0"/>
    <n v="13"/>
    <n v="10"/>
    <n v="3"/>
    <n v="9"/>
    <n v="11"/>
    <n v="2"/>
    <n v="0.72699999999999998"/>
    <n v="0.754"/>
    <n v="0.73799999999999999"/>
    <x v="2"/>
  </r>
  <r>
    <d v="2026-03-06T00:00:00"/>
    <x v="2"/>
    <x v="11"/>
    <x v="11"/>
    <x v="0"/>
    <x v="3"/>
    <n v="20"/>
    <x v="2"/>
    <n v="10"/>
    <n v="12"/>
    <n v="0"/>
    <n v="9"/>
    <n v="9"/>
    <n v="0"/>
    <n v="1"/>
    <n v="0.93300000000000005"/>
    <n v="0.97299999999999998"/>
    <x v="0"/>
  </r>
  <r>
    <d v="2026-03-08T00:00:00"/>
    <x v="2"/>
    <x v="12"/>
    <x v="12"/>
    <x v="1"/>
    <x v="1"/>
    <n v="21"/>
    <x v="0"/>
    <n v="11"/>
    <n v="8"/>
    <n v="50"/>
    <n v="7"/>
    <n v="5.8"/>
    <n v="0"/>
    <n v="0.753"/>
    <n v="0.71099999999999997"/>
    <n v="0.73599999999999999"/>
    <x v="2"/>
  </r>
  <r>
    <d v="2026-03-10T00:00:00"/>
    <x v="2"/>
    <x v="13"/>
    <x v="13"/>
    <x v="2"/>
    <x v="2"/>
    <n v="21"/>
    <x v="0"/>
    <n v="19"/>
    <n v="16"/>
    <n v="3"/>
    <n v="9"/>
    <n v="9.9"/>
    <n v="0.9"/>
    <n v="0.86699999999999999"/>
    <n v="0.88900000000000001"/>
    <n v="0.876"/>
    <x v="1"/>
  </r>
  <r>
    <d v="2026-03-12T00:00:00"/>
    <x v="2"/>
    <x v="14"/>
    <x v="14"/>
    <x v="3"/>
    <x v="3"/>
    <n v="20"/>
    <x v="0"/>
    <n v="19"/>
    <n v="18"/>
    <n v="1"/>
    <n v="7"/>
    <n v="5.7"/>
    <n v="0"/>
    <n v="0.90700000000000003"/>
    <n v="0.82899999999999996"/>
    <n v="0.876"/>
    <x v="1"/>
  </r>
  <r>
    <d v="2026-03-14T00:00:00"/>
    <x v="2"/>
    <x v="15"/>
    <x v="15"/>
    <x v="4"/>
    <x v="0"/>
    <n v="21"/>
    <x v="0"/>
    <n v="14"/>
    <n v="12"/>
    <n v="2"/>
    <n v="8"/>
    <n v="8.1999999999999993"/>
    <n v="0.2"/>
    <n v="0.85099999999999998"/>
    <n v="0.92300000000000004"/>
    <n v="0.88"/>
    <x v="1"/>
  </r>
  <r>
    <d v="2026-03-16T00:00:00"/>
    <x v="2"/>
    <x v="16"/>
    <x v="16"/>
    <x v="5"/>
    <x v="2"/>
    <n v="20"/>
    <x v="0"/>
    <n v="20"/>
    <n v="23"/>
    <n v="0"/>
    <n v="9"/>
    <n v="6.8"/>
    <n v="0"/>
    <n v="1"/>
    <n v="1"/>
    <n v="1"/>
    <x v="0"/>
  </r>
  <r>
    <d v="2026-03-20T00:00:00"/>
    <x v="2"/>
    <x v="17"/>
    <x v="17"/>
    <x v="1"/>
    <x v="3"/>
    <n v="20"/>
    <x v="0"/>
    <n v="8"/>
    <n v="6"/>
    <n v="2"/>
    <n v="8"/>
    <n v="8.1999999999999993"/>
    <n v="0.2"/>
    <n v="0.67"/>
    <n v="0.63600000000000001"/>
    <n v="0.65600000000000003"/>
    <x v="2"/>
  </r>
  <r>
    <d v="2026-03-22T00:00:00"/>
    <x v="2"/>
    <x v="0"/>
    <x v="0"/>
    <x v="0"/>
    <x v="0"/>
    <n v="21"/>
    <x v="0"/>
    <n v="14"/>
    <n v="16"/>
    <n v="0"/>
    <n v="9"/>
    <n v="9.8000000000000007"/>
    <n v="0.8"/>
    <n v="1"/>
    <n v="1"/>
    <n v="1"/>
    <x v="0"/>
  </r>
  <r>
    <d v="2026-03-24T00:00:00"/>
    <x v="2"/>
    <x v="1"/>
    <x v="1"/>
    <x v="0"/>
    <x v="1"/>
    <n v="22"/>
    <x v="0"/>
    <n v="10"/>
    <n v="8"/>
    <n v="2"/>
    <n v="8"/>
    <n v="8.1999999999999993"/>
    <n v="0.2"/>
    <n v="0.755"/>
    <n v="0.64800000000000002"/>
    <n v="0.71199999999999997"/>
    <x v="2"/>
  </r>
  <r>
    <d v="2026-03-26T00:00:00"/>
    <x v="2"/>
    <x v="2"/>
    <x v="2"/>
    <x v="1"/>
    <x v="2"/>
    <n v="22"/>
    <x v="2"/>
    <n v="8"/>
    <n v="10"/>
    <n v="0"/>
    <n v="8"/>
    <n v="7.9"/>
    <n v="0"/>
    <n v="1"/>
    <n v="1"/>
    <n v="1"/>
    <x v="0"/>
  </r>
  <r>
    <d v="2026-03-28T00:00:00"/>
    <x v="2"/>
    <x v="3"/>
    <x v="3"/>
    <x v="1"/>
    <x v="0"/>
    <n v="22"/>
    <x v="2"/>
    <n v="10"/>
    <n v="7"/>
    <n v="3"/>
    <n v="9"/>
    <n v="8.6999999999999993"/>
    <n v="0"/>
    <n v="0.63300000000000001"/>
    <n v="0.55400000000000005"/>
    <n v="0.60099999999999998"/>
    <x v="2"/>
  </r>
  <r>
    <d v="2026-03-30T00:00:00"/>
    <x v="2"/>
    <x v="4"/>
    <x v="4"/>
    <x v="2"/>
    <x v="3"/>
    <n v="22"/>
    <x v="0"/>
    <n v="18"/>
    <n v="21"/>
    <n v="0"/>
    <n v="7"/>
    <n v="5.4"/>
    <n v="0"/>
    <n v="1"/>
    <n v="1"/>
    <n v="1"/>
    <x v="0"/>
  </r>
  <r>
    <d v="2026-04-01T00:00:00"/>
    <x v="3"/>
    <x v="5"/>
    <x v="5"/>
    <x v="2"/>
    <x v="1"/>
    <n v="22"/>
    <x v="0"/>
    <n v="17"/>
    <n v="18"/>
    <n v="0"/>
    <n v="7"/>
    <n v="6.2"/>
    <n v="0"/>
    <n v="1"/>
    <n v="0.97199999999999998"/>
    <n v="0.98899999999999999"/>
    <x v="0"/>
  </r>
  <r>
    <d v="2026-04-05T00:00:00"/>
    <x v="3"/>
    <x v="7"/>
    <x v="7"/>
    <x v="3"/>
    <x v="0"/>
    <n v="20"/>
    <x v="0"/>
    <n v="14"/>
    <n v="12"/>
    <n v="2"/>
    <n v="9"/>
    <n v="10.199999999999999"/>
    <n v="1.2"/>
    <n v="0.88"/>
    <n v="0.86099999999999999"/>
    <n v="0.872"/>
    <x v="1"/>
  </r>
  <r>
    <d v="2026-04-07T00:00:00"/>
    <x v="3"/>
    <x v="8"/>
    <x v="8"/>
    <x v="4"/>
    <x v="3"/>
    <n v="20"/>
    <x v="0"/>
    <n v="15"/>
    <n v="16"/>
    <n v="0"/>
    <n v="9"/>
    <n v="9.4"/>
    <n v="0.4"/>
    <n v="1"/>
    <n v="0.89600000000000002"/>
    <n v="0.95799999999999996"/>
    <x v="0"/>
  </r>
  <r>
    <d v="2026-04-09T00:00:00"/>
    <x v="3"/>
    <x v="9"/>
    <x v="9"/>
    <x v="4"/>
    <x v="2"/>
    <n v="20"/>
    <x v="2"/>
    <n v="12"/>
    <n v="10"/>
    <n v="2"/>
    <n v="8"/>
    <n v="6.1"/>
    <n v="0"/>
    <n v="0.89400000000000002"/>
    <n v="0.96699999999999997"/>
    <n v="0.92300000000000004"/>
    <x v="0"/>
  </r>
  <r>
    <d v="2026-04-11T00:00:00"/>
    <x v="3"/>
    <x v="18"/>
    <x v="18"/>
    <x v="5"/>
    <x v="1"/>
    <n v="21"/>
    <x v="0"/>
    <n v="10"/>
    <n v="10"/>
    <n v="0"/>
    <n v="9"/>
    <n v="9.4"/>
    <n v="0.4"/>
    <n v="1"/>
    <n v="1"/>
    <n v="1"/>
    <x v="0"/>
  </r>
  <r>
    <d v="2026-04-13T00:00:00"/>
    <x v="3"/>
    <x v="10"/>
    <x v="10"/>
    <x v="5"/>
    <x v="0"/>
    <n v="22"/>
    <x v="2"/>
    <n v="8"/>
    <n v="10"/>
    <n v="0"/>
    <n v="9"/>
    <n v="8.6"/>
    <n v="0"/>
    <n v="1"/>
    <n v="1"/>
    <n v="1"/>
    <x v="0"/>
  </r>
  <r>
    <d v="2026-04-15T00:00:00"/>
    <x v="3"/>
    <x v="11"/>
    <x v="11"/>
    <x v="0"/>
    <x v="3"/>
    <n v="20"/>
    <x v="0"/>
    <n v="9"/>
    <n v="6"/>
    <n v="70"/>
    <n v="9"/>
    <n v="8.3000000000000007"/>
    <n v="0"/>
    <n v="0.67500000000000004"/>
    <n v="0.61499999999999999"/>
    <n v="0.65100000000000002"/>
    <x v="2"/>
  </r>
  <r>
    <d v="2026-04-19T00:00:00"/>
    <x v="3"/>
    <x v="13"/>
    <x v="13"/>
    <x v="2"/>
    <x v="2"/>
    <n v="22"/>
    <x v="0"/>
    <n v="12"/>
    <n v="15"/>
    <n v="0"/>
    <n v="7"/>
    <n v="8.1"/>
    <n v="1.1000000000000001"/>
    <n v="1"/>
    <n v="0.97299999999999998"/>
    <n v="0.98899999999999999"/>
    <x v="0"/>
  </r>
  <r>
    <d v="2026-04-21T00:00:00"/>
    <x v="3"/>
    <x v="14"/>
    <x v="14"/>
    <x v="3"/>
    <x v="3"/>
    <n v="21"/>
    <x v="0"/>
    <n v="8"/>
    <n v="7"/>
    <n v="1"/>
    <n v="7"/>
    <n v="8"/>
    <n v="1"/>
    <n v="0.89700000000000002"/>
    <n v="0.83499999999999996"/>
    <n v="0.872"/>
    <x v="1"/>
  </r>
  <r>
    <d v="2026-04-23T00:00:00"/>
    <x v="3"/>
    <x v="15"/>
    <x v="15"/>
    <x v="4"/>
    <x v="0"/>
    <n v="22"/>
    <x v="0"/>
    <n v="16"/>
    <n v="18"/>
    <n v="0"/>
    <n v="8"/>
    <n v="7.1"/>
    <n v="0"/>
    <n v="1"/>
    <n v="0.90500000000000003"/>
    <n v="0.96199999999999997"/>
    <x v="0"/>
  </r>
  <r>
    <d v="2026-04-25T00:00:00"/>
    <x v="3"/>
    <x v="16"/>
    <x v="16"/>
    <x v="5"/>
    <x v="2"/>
    <n v="22"/>
    <x v="0"/>
    <n v="16"/>
    <n v="13"/>
    <n v="3"/>
    <n v="8"/>
    <n v="7.7"/>
    <n v="0"/>
    <n v="0.82599999999999996"/>
    <n v="0.73899999999999999"/>
    <n v="0.79100000000000004"/>
    <x v="1"/>
  </r>
  <r>
    <d v="2026-04-27T00:00:00"/>
    <x v="3"/>
    <x v="19"/>
    <x v="19"/>
    <x v="0"/>
    <x v="1"/>
    <n v="20"/>
    <x v="0"/>
    <n v="12"/>
    <n v="11"/>
    <n v="1"/>
    <n v="7"/>
    <n v="7.4"/>
    <n v="0.4"/>
    <n v="0.98"/>
    <n v="0.90600000000000003"/>
    <n v="0.95"/>
    <x v="0"/>
  </r>
  <r>
    <d v="2026-04-29T00:00:00"/>
    <x v="3"/>
    <x v="17"/>
    <x v="17"/>
    <x v="1"/>
    <x v="3"/>
    <n v="20"/>
    <x v="1"/>
    <n v="9"/>
    <n v="8"/>
    <n v="1"/>
    <n v="9"/>
    <n v="10.1"/>
    <n v="1.1000000000000001"/>
    <n v="0.95"/>
    <n v="0.91900000000000004"/>
    <n v="0.93799999999999994"/>
    <x v="0"/>
  </r>
  <r>
    <d v="2026-05-01T00:00:00"/>
    <x v="4"/>
    <x v="0"/>
    <x v="0"/>
    <x v="0"/>
    <x v="0"/>
    <n v="22"/>
    <x v="1"/>
    <n v="10"/>
    <n v="8"/>
    <n v="2"/>
    <n v="7"/>
    <n v="6.5"/>
    <n v="0"/>
    <n v="0.876"/>
    <n v="0.93400000000000005"/>
    <n v="0.89900000000000002"/>
    <x v="1"/>
  </r>
  <r>
    <d v="2026-05-03T00:00:00"/>
    <x v="4"/>
    <x v="1"/>
    <x v="1"/>
    <x v="0"/>
    <x v="1"/>
    <n v="21"/>
    <x v="0"/>
    <n v="10"/>
    <n v="12"/>
    <n v="0"/>
    <n v="8"/>
    <n v="7.8"/>
    <n v="0"/>
    <n v="1"/>
    <n v="0.97099999999999997"/>
    <n v="0.98799999999999999"/>
    <x v="0"/>
  </r>
  <r>
    <d v="2026-05-07T00:00:00"/>
    <x v="4"/>
    <x v="3"/>
    <x v="3"/>
    <x v="1"/>
    <x v="0"/>
    <n v="21"/>
    <x v="0"/>
    <n v="15"/>
    <n v="13"/>
    <n v="2"/>
    <n v="7"/>
    <n v="5.7"/>
    <n v="0"/>
    <n v="0.91700000000000004"/>
    <n v="0.89800000000000002"/>
    <n v="0.90900000000000003"/>
    <x v="0"/>
  </r>
  <r>
    <d v="2026-05-09T00:00:00"/>
    <x v="4"/>
    <x v="4"/>
    <x v="4"/>
    <x v="2"/>
    <x v="3"/>
    <n v="21"/>
    <x v="0"/>
    <n v="11"/>
    <n v="8"/>
    <n v="3"/>
    <n v="9"/>
    <n v="9.9"/>
    <n v="0.9"/>
    <n v="0.67800000000000005"/>
    <n v="0.63"/>
    <n v="0.65900000000000003"/>
    <x v="2"/>
  </r>
  <r>
    <d v="2026-05-11T00:00:00"/>
    <x v="4"/>
    <x v="5"/>
    <x v="5"/>
    <x v="2"/>
    <x v="1"/>
    <n v="20"/>
    <x v="0"/>
    <n v="13"/>
    <n v="15"/>
    <n v="0"/>
    <n v="9"/>
    <n v="10.5"/>
    <n v="1.5"/>
    <n v="1"/>
    <n v="1"/>
    <n v="1"/>
    <x v="0"/>
  </r>
  <r>
    <d v="2026-05-13T00:00:00"/>
    <x v="4"/>
    <x v="6"/>
    <x v="6"/>
    <x v="3"/>
    <x v="2"/>
    <n v="22"/>
    <x v="0"/>
    <n v="8"/>
    <n v="5"/>
    <n v="50"/>
    <n v="8"/>
    <n v="7.9"/>
    <n v="0"/>
    <n v="0.57399999999999995"/>
    <n v="0.66600000000000004"/>
    <n v="0.61099999999999999"/>
    <x v="2"/>
  </r>
  <r>
    <d v="2026-05-15T00:00:00"/>
    <x v="4"/>
    <x v="7"/>
    <x v="7"/>
    <x v="3"/>
    <x v="0"/>
    <n v="21"/>
    <x v="0"/>
    <n v="9"/>
    <n v="10"/>
    <n v="0"/>
    <n v="8"/>
    <n v="9.1"/>
    <n v="1.1000000000000001"/>
    <n v="1"/>
    <n v="1"/>
    <n v="1"/>
    <x v="0"/>
  </r>
  <r>
    <d v="2026-05-17T00:00:00"/>
    <x v="4"/>
    <x v="8"/>
    <x v="8"/>
    <x v="4"/>
    <x v="3"/>
    <n v="21"/>
    <x v="2"/>
    <n v="16"/>
    <n v="13"/>
    <n v="3"/>
    <n v="8"/>
    <n v="8.4"/>
    <n v="0.4"/>
    <n v="0.876"/>
    <n v="0.79800000000000004"/>
    <n v="0.84499999999999997"/>
    <x v="1"/>
  </r>
  <r>
    <d v="2026-05-21T00:00:00"/>
    <x v="4"/>
    <x v="18"/>
    <x v="18"/>
    <x v="5"/>
    <x v="1"/>
    <n v="22"/>
    <x v="1"/>
    <n v="19"/>
    <n v="21"/>
    <n v="0"/>
    <n v="7"/>
    <n v="7.4"/>
    <n v="0.4"/>
    <n v="1"/>
    <n v="0.89500000000000002"/>
    <n v="0.95799999999999996"/>
    <x v="0"/>
  </r>
  <r>
    <d v="2026-05-23T00:00:00"/>
    <x v="4"/>
    <x v="10"/>
    <x v="10"/>
    <x v="5"/>
    <x v="0"/>
    <n v="22"/>
    <x v="0"/>
    <n v="17"/>
    <n v="16"/>
    <n v="1"/>
    <n v="9"/>
    <n v="10.7"/>
    <n v="1.7"/>
    <n v="0.997"/>
    <n v="1"/>
    <n v="0.998"/>
    <x v="0"/>
  </r>
  <r>
    <d v="2026-05-25T00:00:00"/>
    <x v="4"/>
    <x v="11"/>
    <x v="11"/>
    <x v="0"/>
    <x v="3"/>
    <n v="21"/>
    <x v="2"/>
    <n v="12"/>
    <n v="14"/>
    <n v="0"/>
    <n v="8"/>
    <n v="8"/>
    <n v="0"/>
    <n v="1"/>
    <n v="1"/>
    <n v="1"/>
    <x v="0"/>
  </r>
  <r>
    <d v="2026-05-27T00:00:00"/>
    <x v="4"/>
    <x v="12"/>
    <x v="12"/>
    <x v="1"/>
    <x v="1"/>
    <n v="22"/>
    <x v="0"/>
    <n v="11"/>
    <n v="11"/>
    <n v="0"/>
    <n v="9"/>
    <n v="10.7"/>
    <n v="1.7"/>
    <n v="1"/>
    <n v="1"/>
    <n v="1"/>
    <x v="0"/>
  </r>
  <r>
    <d v="2026-05-29T00:00:00"/>
    <x v="4"/>
    <x v="13"/>
    <x v="13"/>
    <x v="2"/>
    <x v="2"/>
    <n v="20"/>
    <x v="2"/>
    <n v="17"/>
    <n v="16"/>
    <n v="1"/>
    <n v="8"/>
    <n v="5.0999999999999996"/>
    <n v="0"/>
    <n v="0.94899999999999995"/>
    <n v="0.82899999999999996"/>
    <n v="0.90100000000000002"/>
    <x v="0"/>
  </r>
  <r>
    <d v="2026-05-31T00:00:00"/>
    <x v="4"/>
    <x v="14"/>
    <x v="14"/>
    <x v="3"/>
    <x v="3"/>
    <n v="21"/>
    <x v="0"/>
    <n v="14"/>
    <n v="17"/>
    <n v="0"/>
    <n v="9"/>
    <n v="9.9"/>
    <n v="0.9"/>
    <n v="1"/>
    <n v="0.95099999999999996"/>
    <n v="0.98"/>
    <x v="0"/>
  </r>
  <r>
    <d v="2026-06-02T00:00:00"/>
    <x v="5"/>
    <x v="15"/>
    <x v="15"/>
    <x v="4"/>
    <x v="0"/>
    <n v="21"/>
    <x v="0"/>
    <n v="18"/>
    <n v="16"/>
    <n v="2"/>
    <n v="9"/>
    <n v="9.1"/>
    <n v="0.1"/>
    <n v="0.88500000000000001"/>
    <n v="0.96299999999999997"/>
    <n v="0.91600000000000004"/>
    <x v="0"/>
  </r>
  <r>
    <d v="2026-06-06T00:00:00"/>
    <x v="5"/>
    <x v="19"/>
    <x v="19"/>
    <x v="0"/>
    <x v="1"/>
    <n v="21"/>
    <x v="0"/>
    <n v="20"/>
    <n v="18"/>
    <n v="2"/>
    <n v="9"/>
    <n v="9.1"/>
    <n v="0.1"/>
    <n v="0.87"/>
    <n v="0.92700000000000005"/>
    <n v="0.89300000000000002"/>
    <x v="1"/>
  </r>
  <r>
    <d v="2026-06-08T00:00:00"/>
    <x v="5"/>
    <x v="17"/>
    <x v="17"/>
    <x v="1"/>
    <x v="3"/>
    <n v="20"/>
    <x v="0"/>
    <n v="8"/>
    <n v="6"/>
    <n v="2"/>
    <n v="8"/>
    <n v="5.8"/>
    <n v="0"/>
    <n v="0.76800000000000002"/>
    <n v="0.81699999999999995"/>
    <n v="0.78800000000000003"/>
    <x v="1"/>
  </r>
  <r>
    <d v="2026-06-10T00:00:00"/>
    <x v="5"/>
    <x v="0"/>
    <x v="0"/>
    <x v="0"/>
    <x v="0"/>
    <n v="21"/>
    <x v="0"/>
    <n v="18"/>
    <n v="19"/>
    <n v="50"/>
    <n v="7"/>
    <n v="6.8"/>
    <n v="0"/>
    <n v="1"/>
    <n v="0.96399999999999997"/>
    <n v="0.98599999999999999"/>
    <x v="0"/>
  </r>
  <r>
    <d v="2026-06-12T00:00:00"/>
    <x v="5"/>
    <x v="1"/>
    <x v="1"/>
    <x v="0"/>
    <x v="1"/>
    <n v="21"/>
    <x v="0"/>
    <n v="10"/>
    <n v="12"/>
    <n v="0"/>
    <n v="9"/>
    <n v="9.4"/>
    <n v="0.4"/>
    <n v="1"/>
    <n v="1"/>
    <n v="1"/>
    <x v="0"/>
  </r>
  <r>
    <d v="2026-06-14T00:00:00"/>
    <x v="5"/>
    <x v="2"/>
    <x v="2"/>
    <x v="1"/>
    <x v="2"/>
    <n v="20"/>
    <x v="0"/>
    <n v="11"/>
    <n v="9"/>
    <n v="2"/>
    <n v="9"/>
    <n v="10.6"/>
    <n v="1.6"/>
    <n v="0.82099999999999995"/>
    <n v="0.71199999999999997"/>
    <n v="0.77700000000000002"/>
    <x v="1"/>
  </r>
  <r>
    <d v="2026-06-16T00:00:00"/>
    <x v="5"/>
    <x v="3"/>
    <x v="3"/>
    <x v="1"/>
    <x v="0"/>
    <n v="20"/>
    <x v="0"/>
    <n v="15"/>
    <n v="13"/>
    <n v="2"/>
    <n v="8"/>
    <n v="7.4"/>
    <n v="0"/>
    <n v="0.89300000000000002"/>
    <n v="0.99"/>
    <n v="0.93200000000000005"/>
    <x v="0"/>
  </r>
  <r>
    <d v="2026-06-20T00:00:00"/>
    <x v="5"/>
    <x v="5"/>
    <x v="5"/>
    <x v="2"/>
    <x v="1"/>
    <n v="21"/>
    <x v="2"/>
    <n v="15"/>
    <n v="13"/>
    <n v="2"/>
    <n v="9"/>
    <n v="8.4"/>
    <n v="0"/>
    <n v="0.92500000000000004"/>
    <n v="0.90400000000000003"/>
    <n v="0.91700000000000004"/>
    <x v="0"/>
  </r>
  <r>
    <d v="2026-06-22T00:00:00"/>
    <x v="5"/>
    <x v="6"/>
    <x v="6"/>
    <x v="3"/>
    <x v="2"/>
    <n v="20"/>
    <x v="1"/>
    <n v="12"/>
    <n v="15"/>
    <n v="0"/>
    <n v="9"/>
    <n v="10"/>
    <n v="1"/>
    <n v="1"/>
    <n v="0.93300000000000005"/>
    <n v="0.97299999999999998"/>
    <x v="0"/>
  </r>
  <r>
    <d v="2026-06-24T00:00:00"/>
    <x v="5"/>
    <x v="7"/>
    <x v="7"/>
    <x v="3"/>
    <x v="0"/>
    <n v="21"/>
    <x v="0"/>
    <n v="19"/>
    <n v="18"/>
    <n v="1"/>
    <n v="7"/>
    <n v="7.4"/>
    <n v="0.4"/>
    <n v="0.91100000000000003"/>
    <n v="0.86099999999999999"/>
    <n v="0.89100000000000001"/>
    <x v="1"/>
  </r>
  <r>
    <d v="2026-06-26T00:00:00"/>
    <x v="5"/>
    <x v="8"/>
    <x v="8"/>
    <x v="4"/>
    <x v="3"/>
    <n v="22"/>
    <x v="0"/>
    <n v="10"/>
    <n v="8"/>
    <n v="2"/>
    <n v="7"/>
    <n v="6.4"/>
    <n v="0"/>
    <n v="0.78100000000000003"/>
    <n v="0.69499999999999995"/>
    <n v="0.747"/>
    <x v="2"/>
  </r>
  <r>
    <d v="2026-06-28T00:00:00"/>
    <x v="5"/>
    <x v="9"/>
    <x v="9"/>
    <x v="4"/>
    <x v="2"/>
    <n v="20"/>
    <x v="0"/>
    <n v="14"/>
    <n v="14"/>
    <n v="0"/>
    <n v="8"/>
    <n v="8.6"/>
    <n v="0.6"/>
    <n v="1"/>
    <n v="0.97099999999999997"/>
    <n v="0.98799999999999999"/>
    <x v="0"/>
  </r>
  <r>
    <d v="2026-06-30T00:00:00"/>
    <x v="5"/>
    <x v="18"/>
    <x v="18"/>
    <x v="5"/>
    <x v="1"/>
    <n v="20"/>
    <x v="0"/>
    <n v="14"/>
    <n v="17"/>
    <n v="0"/>
    <n v="9"/>
    <n v="9.1"/>
    <n v="0.1"/>
    <n v="1"/>
    <n v="0.88400000000000001"/>
    <n v="0.95399999999999996"/>
    <x v="0"/>
  </r>
  <r>
    <d v="2026-07-02T00:00:00"/>
    <x v="6"/>
    <x v="10"/>
    <x v="10"/>
    <x v="5"/>
    <x v="0"/>
    <n v="22"/>
    <x v="0"/>
    <n v="15"/>
    <n v="12"/>
    <n v="3"/>
    <n v="8"/>
    <n v="9.1"/>
    <n v="1.1000000000000001"/>
    <n v="0.76800000000000002"/>
    <n v="0.73399999999999999"/>
    <n v="0.754"/>
    <x v="1"/>
  </r>
  <r>
    <d v="2026-07-06T00:00:00"/>
    <x v="6"/>
    <x v="12"/>
    <x v="12"/>
    <x v="1"/>
    <x v="1"/>
    <n v="21"/>
    <x v="0"/>
    <n v="12"/>
    <n v="12"/>
    <n v="0"/>
    <n v="8"/>
    <n v="7.6"/>
    <n v="0"/>
    <n v="0.92500000000000004"/>
    <n v="0.879"/>
    <n v="0.90700000000000003"/>
    <x v="0"/>
  </r>
  <r>
    <d v="2026-07-08T00:00:00"/>
    <x v="6"/>
    <x v="13"/>
    <x v="13"/>
    <x v="2"/>
    <x v="2"/>
    <n v="22"/>
    <x v="0"/>
    <n v="19"/>
    <n v="17"/>
    <n v="2"/>
    <n v="8"/>
    <n v="7.6"/>
    <n v="0"/>
    <n v="0.96199999999999997"/>
    <n v="1"/>
    <n v="0.97699999999999998"/>
    <x v="0"/>
  </r>
  <r>
    <d v="2026-07-10T00:00:00"/>
    <x v="6"/>
    <x v="14"/>
    <x v="14"/>
    <x v="3"/>
    <x v="3"/>
    <n v="22"/>
    <x v="0"/>
    <n v="14"/>
    <n v="15"/>
    <n v="30"/>
    <n v="9"/>
    <n v="7.4"/>
    <n v="0"/>
    <n v="1"/>
    <n v="0.89800000000000002"/>
    <n v="0.95899999999999996"/>
    <x v="0"/>
  </r>
  <r>
    <d v="2026-07-12T00:00:00"/>
    <x v="6"/>
    <x v="15"/>
    <x v="15"/>
    <x v="4"/>
    <x v="0"/>
    <n v="21"/>
    <x v="0"/>
    <n v="15"/>
    <n v="13"/>
    <n v="2"/>
    <n v="7"/>
    <n v="7.3"/>
    <n v="0.3"/>
    <n v="0.82799999999999996"/>
    <n v="0.78"/>
    <n v="0.80900000000000005"/>
    <x v="1"/>
  </r>
  <r>
    <d v="2026-07-14T00:00:00"/>
    <x v="6"/>
    <x v="16"/>
    <x v="16"/>
    <x v="5"/>
    <x v="2"/>
    <n v="21"/>
    <x v="0"/>
    <n v="13"/>
    <n v="16"/>
    <n v="0"/>
    <n v="8"/>
    <n v="8.3000000000000007"/>
    <n v="0.3"/>
    <n v="1"/>
    <n v="1"/>
    <n v="1"/>
    <x v="0"/>
  </r>
  <r>
    <d v="2026-07-16T00:00:00"/>
    <x v="6"/>
    <x v="19"/>
    <x v="19"/>
    <x v="0"/>
    <x v="1"/>
    <n v="21"/>
    <x v="0"/>
    <n v="9"/>
    <n v="9"/>
    <n v="0"/>
    <n v="7"/>
    <n v="7"/>
    <n v="0"/>
    <n v="1"/>
    <n v="0.89100000000000001"/>
    <n v="0.95599999999999996"/>
    <x v="0"/>
  </r>
  <r>
    <d v="2026-07-18T00:00:00"/>
    <x v="6"/>
    <x v="17"/>
    <x v="17"/>
    <x v="1"/>
    <x v="3"/>
    <n v="21"/>
    <x v="0"/>
    <n v="18"/>
    <n v="15"/>
    <n v="3"/>
    <n v="9"/>
    <n v="8.6999999999999993"/>
    <n v="0"/>
    <n v="0.76"/>
    <n v="0.64700000000000002"/>
    <n v="0.714999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D9B3F6-856E-43C4-99A2-CCDC5F182B8D}"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erformance Status">
  <location ref="N14:O18"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Count of Emp ID" fld="2" subtotal="count" baseField="0" baseItem="0"/>
  </dataFields>
  <formats count="2">
    <format dxfId="22">
      <pivotArea field="4" type="button" dataOnly="0" labelOnly="1" outline="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38BA84-36D7-4285-B9AC-056A5787C6A5}"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Attendence Status">
  <location ref="K14:L18"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7"/>
  </rowFields>
  <rowItems count="4">
    <i>
      <x/>
    </i>
    <i>
      <x v="1"/>
    </i>
    <i>
      <x v="2"/>
    </i>
    <i t="grand">
      <x/>
    </i>
  </rowItems>
  <colItems count="1">
    <i/>
  </colItems>
  <dataFields count="1">
    <dataField name="Count of Emp ID" fld="2" subtotal="count" baseField="0" baseItem="0"/>
  </dataFields>
  <formats count="2">
    <format dxfId="24">
      <pivotArea field="4" type="button" dataOnly="0" labelOnly="1" outline="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B9EEB-B43B-472D-B85D-F2519A9E7F8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Month">
  <location ref="D14:E22" firstHeaderRow="1" firstDataRow="1" firstDataCol="1"/>
  <pivotFields count="18">
    <pivotField numFmtId="15" showAll="0"/>
    <pivotField axis="axisRow" showAll="0">
      <items count="8">
        <item x="0"/>
        <item x="1"/>
        <item x="2"/>
        <item x="3"/>
        <item x="4"/>
        <item x="5"/>
        <item x="6"/>
        <item t="default"/>
      </items>
    </pivotField>
    <pivotField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Items count="1">
    <i/>
  </colItems>
  <dataFields count="1">
    <dataField name="Average of Productivity %" fld="14" subtotal="average" baseField="1" baseItem="0"/>
  </dataFields>
  <formats count="2">
    <format dxfId="26">
      <pivotArea field="4" type="button" dataOnly="0" labelOnly="1" outline="0"/>
    </format>
    <format dxfId="2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89E7F-C8B6-42E6-9ABB-69031AA19EF3}"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J3:K8" firstHeaderRow="1" firstDataRow="1" firstDataCol="1"/>
  <pivotFields count="18">
    <pivotField numFmtId="15" showAll="0"/>
    <pivotField showAll="0"/>
    <pivotField showAll="0"/>
    <pivotField showAll="0"/>
    <pivotField showAll="0">
      <items count="7">
        <item x="2"/>
        <item x="3"/>
        <item x="5"/>
        <item x="1"/>
        <item x="4"/>
        <item x="0"/>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 numFmtId="10" showAll="0"/>
    <pivotField showAll="0">
      <items count="4">
        <item x="0"/>
        <item x="2"/>
        <item x="1"/>
        <item t="default"/>
      </items>
    </pivotField>
  </pivotFields>
  <rowFields count="1">
    <field x="5"/>
  </rowFields>
  <rowItems count="5">
    <i>
      <x/>
    </i>
    <i>
      <x v="1"/>
    </i>
    <i>
      <x v="2"/>
    </i>
    <i>
      <x v="3"/>
    </i>
    <i t="grand">
      <x/>
    </i>
  </rowItems>
  <colItems count="1">
    <i/>
  </colItems>
  <dataFields count="1">
    <dataField name="Average of Quality Score %" fld="15" subtotal="average" baseField="5" baseItem="0"/>
  </dataFields>
  <formats count="2">
    <format dxfId="28">
      <pivotArea field="4" type="button" dataOnly="0" labelOnly="1" outline="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94CF50-F8D4-43D6-B015-28307C34D9DE}"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Department">
  <location ref="G3:H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Productivity %" fld="14" subtotal="average" baseField="4" baseItem="0"/>
  </dataFields>
  <formats count="2">
    <format dxfId="30">
      <pivotArea field="4" type="button" dataOnly="0" labelOnly="1" outline="0" axis="axisRow" fieldPosition="0"/>
    </format>
    <format dxfId="29">
      <pivotArea outline="0" collapsedLevelsAreSubtotals="1" fieldPosition="0"/>
    </format>
  </format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 chart="7" format="12">
      <pivotArea type="data" outline="0" fieldPosition="0">
        <references count="2">
          <reference field="4294967294" count="1" selected="0">
            <x v="0"/>
          </reference>
          <reference field="4" count="1" selected="0">
            <x v="3"/>
          </reference>
        </references>
      </pivotArea>
    </chartFormat>
    <chartFormat chart="7" format="13">
      <pivotArea type="data" outline="0" fieldPosition="0">
        <references count="2">
          <reference field="4294967294" count="1" selected="0">
            <x v="0"/>
          </reference>
          <reference field="4" count="1" selected="0">
            <x v="4"/>
          </reference>
        </references>
      </pivotArea>
    </chartFormat>
    <chartFormat chart="7"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7B9018-ADFC-4DDA-92A1-3EAE282F5282}"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Department">
  <location ref="D3:E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Achievement %" fld="16" subtotal="average" baseField="4" baseItem="0" numFmtId="164"/>
  </dataFields>
  <formats count="2">
    <format dxfId="32">
      <pivotArea field="4" type="button" dataOnly="0" labelOnly="1" outline="0" axis="axisRow" fieldPosition="0"/>
    </format>
    <format dxfId="3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22B957-B4A2-4373-82E3-6A9D5D4E51B9}"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Month">
  <location ref="G14:I22" firstHeaderRow="0" firstDataRow="1" firstDataCol="1"/>
  <pivotFields count="18">
    <pivotField numFmtId="15" showAll="0"/>
    <pivotField axis="axisRow" showAll="0">
      <items count="8">
        <item x="0"/>
        <item x="1"/>
        <item x="2"/>
        <item x="3"/>
        <item x="4"/>
        <item x="5"/>
        <item x="6"/>
        <item t="default"/>
      </items>
    </pivotField>
    <pivotField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dataField="1" showAll="0"/>
    <pivotField dataField="1"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Sum of Completed Tasks" fld="9" baseField="0" baseItem="0"/>
    <dataField name="Sum of Pending Tasks" fld="10" baseField="0" baseItem="0"/>
  </dataFields>
  <formats count="2">
    <format dxfId="34">
      <pivotArea field="4" type="button" dataOnly="0" labelOnly="1" outline="0"/>
    </format>
    <format dxfId="33">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F3AE6A-8465-4C23-96DA-8477F0C159DE}"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Employee Name">
  <location ref="M3:N9" firstHeaderRow="1" firstDataRow="1" firstDataCol="1"/>
  <pivotFields count="18">
    <pivotField numFmtId="15" showAll="0"/>
    <pivotField showAll="0"/>
    <pivotField showAll="0">
      <items count="21">
        <item x="0"/>
        <item x="1"/>
        <item x="2"/>
        <item x="3"/>
        <item x="4"/>
        <item x="5"/>
        <item x="6"/>
        <item x="7"/>
        <item x="8"/>
        <item x="9"/>
        <item x="18"/>
        <item x="10"/>
        <item x="11"/>
        <item x="12"/>
        <item x="13"/>
        <item x="14"/>
        <item x="15"/>
        <item x="16"/>
        <item x="19"/>
        <item x="17"/>
        <item t="default"/>
      </items>
    </pivotField>
    <pivotField axis="axisRow" showAll="0" measureFilter="1">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3"/>
  </rowFields>
  <rowItems count="6">
    <i>
      <x v="7"/>
    </i>
    <i>
      <x v="11"/>
    </i>
    <i>
      <x v="12"/>
    </i>
    <i>
      <x v="13"/>
    </i>
    <i>
      <x v="18"/>
    </i>
    <i t="grand">
      <x/>
    </i>
  </rowItems>
  <colItems count="1">
    <i/>
  </colItems>
  <dataFields count="1">
    <dataField name="Average of Achievement %" fld="16" subtotal="average" baseField="5" baseItem="0"/>
  </dataFields>
  <formats count="2">
    <format dxfId="36">
      <pivotArea field="4" type="button" dataOnly="0" labelOnly="1" outline="0"/>
    </format>
    <format dxfId="3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ACD391-DCDA-43D1-8E54-E77475CDDAC7}" sourceName="Department">
  <pivotTables>
    <pivotTable tabId="3" name="PivotTable21"/>
    <pivotTable tabId="3" name="PivotTable17"/>
    <pivotTable tabId="3" name="PivotTable19"/>
    <pivotTable tabId="3" name="PivotTable20"/>
    <pivotTable tabId="3" name="PivotTable22"/>
    <pivotTable tabId="3" name="PivotTable23"/>
    <pivotTable tabId="3" name="PivotTable25"/>
    <pivotTable tabId="3" name="PivotTable26"/>
  </pivotTables>
  <data>
    <tabular pivotCacheId="622293709">
      <items count="6">
        <i x="2" s="1"/>
        <i x="3" s="1"/>
        <i x="5"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516AAD-6DE2-436E-86EF-25A9ED8C67CA}" sourceName="Region">
  <pivotTables>
    <pivotTable tabId="3" name="PivotTable21"/>
    <pivotTable tabId="3" name="PivotTable17"/>
    <pivotTable tabId="3" name="PivotTable19"/>
    <pivotTable tabId="3" name="PivotTable20"/>
    <pivotTable tabId="3" name="PivotTable22"/>
    <pivotTable tabId="3" name="PivotTable23"/>
    <pivotTable tabId="3" name="PivotTable25"/>
    <pivotTable tabId="3" name="PivotTable26"/>
  </pivotTables>
  <data>
    <tabular pivotCacheId="62229370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D7A25F90-BC39-4E18-84BC-FFA353FED407}" sourceName="Performance Status">
  <pivotTables>
    <pivotTable tabId="3" name="PivotTable21"/>
    <pivotTable tabId="3" name="PivotTable17"/>
    <pivotTable tabId="3" name="PivotTable19"/>
    <pivotTable tabId="3" name="PivotTable20"/>
    <pivotTable tabId="3" name="PivotTable22"/>
    <pivotTable tabId="3" name="PivotTable23"/>
    <pivotTable tabId="3" name="PivotTable25"/>
    <pivotTable tabId="3" name="PivotTable26"/>
  </pivotTables>
  <data>
    <tabular pivotCacheId="6222937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F4ECDAD-34B6-4BCB-AD45-024551DDEF03}" cache="Slicer_Department" caption="Department" style="SlicerStyleDark3" rowHeight="234950"/>
  <slicer name="Region" xr10:uid="{F46CFA2D-D8C4-4BC6-8EA0-EBE420BCEF54}" cache="Slicer_Region" caption="Region" style="SlicerStyleDark3" rowHeight="234950"/>
  <slicer name="Performance Status" xr10:uid="{5A0925EC-0458-4918-9DD7-FB7F3F767769}" cache="Slicer_Performance_Status" caption="Performance Status"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7FB95-AEE7-45CA-A521-BA2C97CF9569}" name="Table1" displayName="Table1" ref="A1:R90" totalsRowShown="0" headerRowDxfId="20" dataDxfId="19" tableBorderDxfId="18">
  <autoFilter ref="A1:R90" xr:uid="{69FC0A94-E23B-4576-997B-E8EFE3ED05AC}"/>
  <tableColumns count="18">
    <tableColumn id="1" xr3:uid="{AC43BF7F-5E27-44C8-A205-26F114CA8FCF}" name="Date" dataDxfId="17"/>
    <tableColumn id="2" xr3:uid="{7FEED3FC-D153-4DD1-866B-35C4AB5282B7}" name="Month" dataDxfId="16"/>
    <tableColumn id="3" xr3:uid="{DCDB28CB-2F24-4051-851F-3579270C8163}" name="Emp ID" dataDxfId="15"/>
    <tableColumn id="4" xr3:uid="{27EC3123-4238-43F5-B7D7-D8A5B5B8A45F}" name="Employee Name" dataDxfId="14"/>
    <tableColumn id="5" xr3:uid="{E45D1BF5-B4EC-4FE4-8CE9-9096E183FB44}" name="Department" dataDxfId="13"/>
    <tableColumn id="6" xr3:uid="{D9FBEA35-452B-4FF4-970D-CC6B8D2A8F03}" name="Region" dataDxfId="12"/>
    <tableColumn id="7" xr3:uid="{EF25F711-6665-4989-90A8-ED289742265E}" name="Working Days" dataDxfId="11"/>
    <tableColumn id="8" xr3:uid="{3ED9D940-8769-4A6A-918E-C8DFA6B4A156}" name="Attendance Status" dataDxfId="10"/>
    <tableColumn id="9" xr3:uid="{1176ADA9-4C5D-4B3C-B12D-A2B61F4ECDDA}" name="Target Tasks" dataDxfId="9"/>
    <tableColumn id="10" xr3:uid="{8CE200D0-6DBD-48AD-91FD-17145A659135}" name="Completed Tasks" dataDxfId="8"/>
    <tableColumn id="11" xr3:uid="{7E358F37-4ADF-46DD-9D7B-7BAFF186BA07}" name="Pending Tasks" dataDxfId="7"/>
    <tableColumn id="12" xr3:uid="{12F77927-69AB-434F-9890-C8B93DCA16D1}" name="Target Hours" dataDxfId="6"/>
    <tableColumn id="13" xr3:uid="{D099350F-3C2D-4C35-932F-BA4C07A91BD6}" name="Actual Hours" dataDxfId="5"/>
    <tableColumn id="14" xr3:uid="{8274ADBD-B203-4B21-AF7C-AC7638F7AD6E}" name="Overtime Hours" dataDxfId="4"/>
    <tableColumn id="15" xr3:uid="{17C60453-F4A9-46BF-B473-8DB5393080E8}" name="Productivity %" dataDxfId="3"/>
    <tableColumn id="16" xr3:uid="{7E045E47-EB1F-47D3-8C6A-E4631BB408A2}" name="Quality Score %" dataDxfId="2"/>
    <tableColumn id="17" xr3:uid="{8A8468AF-374D-48F4-B7BF-C909B0F527E7}" name="Achievement %" dataDxfId="1"/>
    <tableColumn id="18" xr3:uid="{7173DE55-BAB1-4510-9C55-C01CE51D26FC}" name="Performance 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363F-CF66-4DEA-A364-16F08A3B8DE1}">
  <sheetPr codeName="Sheet1">
    <tabColor theme="3" tint="0.499984740745262"/>
  </sheetPr>
  <dimension ref="B1"/>
  <sheetViews>
    <sheetView showGridLines="0" showRowColHeaders="0" tabSelected="1" zoomScaleNormal="100" workbookViewId="0">
      <selection activeCell="AC15" sqref="AC15"/>
    </sheetView>
  </sheetViews>
  <sheetFormatPr defaultRowHeight="13.8"/>
  <sheetData>
    <row r="1" spans="2:2">
      <c r="B1">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ED68-E30F-4E3E-8E37-431972374B5B}">
  <sheetPr codeName="Sheet2">
    <tabColor rgb="FFFFFF00"/>
  </sheetPr>
  <dimension ref="A3:O34"/>
  <sheetViews>
    <sheetView showGridLines="0" zoomScale="70" zoomScaleNormal="70" workbookViewId="0">
      <selection activeCell="N31" activeCellId="1" sqref="M3:N8 N31"/>
    </sheetView>
  </sheetViews>
  <sheetFormatPr defaultRowHeight="13.8"/>
  <cols>
    <col min="1" max="1" width="21.69921875" customWidth="1"/>
    <col min="2" max="2" width="25.796875" bestFit="1" customWidth="1"/>
    <col min="4" max="4" width="11.69921875" bestFit="1" customWidth="1"/>
    <col min="5" max="5" width="24.5" bestFit="1" customWidth="1"/>
    <col min="7" max="7" width="11.69921875" bestFit="1" customWidth="1"/>
    <col min="8" max="8" width="23.796875" bestFit="1" customWidth="1"/>
    <col min="9" max="9" width="21.5" bestFit="1" customWidth="1"/>
    <col min="10" max="10" width="11.69921875" bestFit="1" customWidth="1"/>
    <col min="11" max="11" width="20.5" bestFit="1" customWidth="1"/>
    <col min="12" max="12" width="15.69921875" bestFit="1" customWidth="1"/>
    <col min="13" max="13" width="18.796875" bestFit="1" customWidth="1"/>
    <col min="14" max="14" width="22" bestFit="1" customWidth="1"/>
    <col min="15" max="15" width="15.69921875" bestFit="1" customWidth="1"/>
  </cols>
  <sheetData>
    <row r="3" spans="1:15">
      <c r="A3" s="9" t="s">
        <v>89</v>
      </c>
      <c r="B3" s="10" t="s">
        <v>90</v>
      </c>
      <c r="D3" s="17" t="s">
        <v>4</v>
      </c>
      <c r="E3" t="s">
        <v>81</v>
      </c>
      <c r="G3" s="17" t="s">
        <v>4</v>
      </c>
      <c r="H3" t="s">
        <v>83</v>
      </c>
      <c r="I3" s="14"/>
      <c r="J3" s="14" t="s">
        <v>5</v>
      </c>
      <c r="K3" t="s">
        <v>86</v>
      </c>
      <c r="L3" s="14"/>
      <c r="M3" s="14" t="s">
        <v>3</v>
      </c>
      <c r="N3" t="s">
        <v>81</v>
      </c>
      <c r="O3" s="14"/>
    </row>
    <row r="4" spans="1:15">
      <c r="A4" s="9" t="s">
        <v>94</v>
      </c>
      <c r="B4" s="10">
        <f>GETPIVOTDATA("Emp ID",$K$14)</f>
        <v>89</v>
      </c>
      <c r="D4" s="15" t="s">
        <v>37</v>
      </c>
      <c r="E4" s="18">
        <v>0.92128571428571437</v>
      </c>
      <c r="G4" s="15" t="s">
        <v>37</v>
      </c>
      <c r="H4" s="18">
        <v>0.92964285714285733</v>
      </c>
      <c r="J4" s="15" t="s">
        <v>22</v>
      </c>
      <c r="K4" s="18">
        <v>0.90867999999999993</v>
      </c>
      <c r="M4" s="15" t="s">
        <v>20</v>
      </c>
      <c r="N4" s="18">
        <v>0.96779999999999988</v>
      </c>
    </row>
    <row r="5" spans="1:15">
      <c r="A5" s="9" t="s">
        <v>91</v>
      </c>
      <c r="B5" s="12">
        <f>GETPIVOTDATA("Productivity %",$G$3)</f>
        <v>0.91858426966292162</v>
      </c>
      <c r="D5" s="15" t="s">
        <v>43</v>
      </c>
      <c r="E5" s="18">
        <v>0.90971428571428581</v>
      </c>
      <c r="G5" s="15" t="s">
        <v>43</v>
      </c>
      <c r="H5" s="18">
        <v>0.91899999999999993</v>
      </c>
      <c r="J5" s="15" t="s">
        <v>32</v>
      </c>
      <c r="K5" s="18">
        <v>0.89919047619047632</v>
      </c>
      <c r="M5" s="15" t="s">
        <v>77</v>
      </c>
      <c r="N5" s="18">
        <v>0.93299999999999994</v>
      </c>
    </row>
    <row r="6" spans="1:15">
      <c r="A6" s="11" t="s">
        <v>92</v>
      </c>
      <c r="B6" s="12">
        <f>GETPIVOTDATA("Achievement %",$D$3)</f>
        <v>0.90624719101123585</v>
      </c>
      <c r="D6" s="15" t="s">
        <v>55</v>
      </c>
      <c r="E6" s="18">
        <v>0.90069230769230768</v>
      </c>
      <c r="G6" s="15" t="s">
        <v>55</v>
      </c>
      <c r="H6" s="18">
        <v>0.91823076923076929</v>
      </c>
      <c r="J6" s="15" t="s">
        <v>38</v>
      </c>
      <c r="K6" s="18">
        <v>0.83890909090909094</v>
      </c>
      <c r="M6" s="15" t="s">
        <v>40</v>
      </c>
      <c r="N6" s="18">
        <v>0.97300000000000009</v>
      </c>
    </row>
    <row r="7" spans="1:15">
      <c r="A7" s="9" t="s">
        <v>93</v>
      </c>
      <c r="B7" s="13">
        <f>GETPIVOTDATA("Sum of Completed Tasks",$G$14)</f>
        <v>1177</v>
      </c>
      <c r="D7" s="15" t="s">
        <v>31</v>
      </c>
      <c r="E7" s="18">
        <v>0.87405555555555559</v>
      </c>
      <c r="G7" s="15" t="s">
        <v>31</v>
      </c>
      <c r="H7" s="18">
        <v>0.89044444444444459</v>
      </c>
      <c r="J7" s="15" t="s">
        <v>27</v>
      </c>
      <c r="K7" s="18">
        <v>0.9027142857142858</v>
      </c>
      <c r="M7" s="15" t="s">
        <v>26</v>
      </c>
      <c r="N7" s="18">
        <v>0.93099999999999983</v>
      </c>
    </row>
    <row r="8" spans="1:15">
      <c r="A8" s="9" t="s">
        <v>95</v>
      </c>
      <c r="B8" s="12">
        <f>GETPIVOTDATA("Quality Score %",$J$3)</f>
        <v>0.88778651685393262</v>
      </c>
      <c r="D8" s="15" t="s">
        <v>49</v>
      </c>
      <c r="E8" s="18">
        <v>0.89715384615384608</v>
      </c>
      <c r="G8" s="15" t="s">
        <v>49</v>
      </c>
      <c r="H8" s="18">
        <v>0.90399999999999991</v>
      </c>
      <c r="J8" s="15" t="s">
        <v>82</v>
      </c>
      <c r="K8" s="18">
        <v>0.88778651685393262</v>
      </c>
      <c r="M8" s="15" t="s">
        <v>45</v>
      </c>
      <c r="N8" s="18">
        <v>0.93479999999999985</v>
      </c>
    </row>
    <row r="9" spans="1:15">
      <c r="D9" s="15" t="s">
        <v>21</v>
      </c>
      <c r="E9" s="18">
        <v>0.93629411764705872</v>
      </c>
      <c r="G9" s="15" t="s">
        <v>21</v>
      </c>
      <c r="H9" s="18">
        <v>0.95035294117647051</v>
      </c>
      <c r="M9" s="15" t="s">
        <v>82</v>
      </c>
      <c r="N9" s="18">
        <v>0.9492173913043479</v>
      </c>
    </row>
    <row r="10" spans="1:15">
      <c r="D10" s="15" t="s">
        <v>82</v>
      </c>
      <c r="E10" s="18">
        <v>0.90624719101123585</v>
      </c>
      <c r="G10" s="15" t="s">
        <v>82</v>
      </c>
      <c r="H10" s="18">
        <v>0.91858426966292162</v>
      </c>
    </row>
    <row r="14" spans="1:15">
      <c r="D14" s="14" t="s">
        <v>1</v>
      </c>
      <c r="E14" t="s">
        <v>83</v>
      </c>
      <c r="F14" s="14"/>
      <c r="G14" s="14" t="s">
        <v>1</v>
      </c>
      <c r="H14" t="s">
        <v>84</v>
      </c>
      <c r="I14" t="s">
        <v>85</v>
      </c>
      <c r="J14" s="14"/>
      <c r="K14" s="14" t="s">
        <v>96</v>
      </c>
      <c r="L14" t="s">
        <v>87</v>
      </c>
      <c r="M14" s="14"/>
      <c r="N14" s="14" t="s">
        <v>17</v>
      </c>
      <c r="O14" t="s">
        <v>87</v>
      </c>
    </row>
    <row r="15" spans="1:15">
      <c r="D15" s="15" t="s">
        <v>18</v>
      </c>
      <c r="E15" s="18">
        <v>0.96260000000000001</v>
      </c>
      <c r="G15" s="15" t="s">
        <v>18</v>
      </c>
      <c r="H15" s="16">
        <v>209</v>
      </c>
      <c r="I15" s="16">
        <v>133</v>
      </c>
      <c r="K15" s="15" t="s">
        <v>28</v>
      </c>
      <c r="L15" s="16">
        <v>8</v>
      </c>
      <c r="N15" s="15" t="s">
        <v>24</v>
      </c>
      <c r="O15" s="16">
        <v>58</v>
      </c>
    </row>
    <row r="16" spans="1:15">
      <c r="D16" s="15" t="s">
        <v>64</v>
      </c>
      <c r="E16" s="18">
        <v>0.94374999999999998</v>
      </c>
      <c r="G16" s="15" t="s">
        <v>64</v>
      </c>
      <c r="H16" s="16">
        <v>173</v>
      </c>
      <c r="I16" s="16">
        <v>79</v>
      </c>
      <c r="K16" s="15" t="s">
        <v>23</v>
      </c>
      <c r="L16" s="16">
        <v>67</v>
      </c>
      <c r="N16" s="15" t="s">
        <v>74</v>
      </c>
      <c r="O16" s="16">
        <v>11</v>
      </c>
    </row>
    <row r="17" spans="4:15">
      <c r="D17" s="15" t="s">
        <v>71</v>
      </c>
      <c r="E17" s="18">
        <v>0.85171428571428598</v>
      </c>
      <c r="G17" s="15" t="s">
        <v>71</v>
      </c>
      <c r="H17" s="16">
        <v>175</v>
      </c>
      <c r="I17" s="16">
        <v>69</v>
      </c>
      <c r="K17" s="15" t="s">
        <v>46</v>
      </c>
      <c r="L17" s="16">
        <v>14</v>
      </c>
      <c r="N17" s="15" t="s">
        <v>50</v>
      </c>
      <c r="O17" s="16">
        <v>20</v>
      </c>
    </row>
    <row r="18" spans="4:15">
      <c r="D18" s="15" t="s">
        <v>75</v>
      </c>
      <c r="E18" s="18">
        <v>0.93092307692307696</v>
      </c>
      <c r="G18" s="15" t="s">
        <v>75</v>
      </c>
      <c r="H18" s="16">
        <v>154</v>
      </c>
      <c r="I18" s="16">
        <v>80</v>
      </c>
      <c r="K18" s="15" t="s">
        <v>82</v>
      </c>
      <c r="L18" s="16">
        <v>89</v>
      </c>
      <c r="N18" s="15" t="s">
        <v>82</v>
      </c>
      <c r="O18" s="16">
        <v>89</v>
      </c>
    </row>
    <row r="19" spans="4:15">
      <c r="D19" s="15" t="s">
        <v>78</v>
      </c>
      <c r="E19" s="18">
        <v>0.91907142857142865</v>
      </c>
      <c r="G19" s="15" t="s">
        <v>78</v>
      </c>
      <c r="H19" s="16">
        <v>179</v>
      </c>
      <c r="I19" s="16">
        <v>62</v>
      </c>
    </row>
    <row r="20" spans="4:15">
      <c r="D20" s="15" t="s">
        <v>79</v>
      </c>
      <c r="E20" s="18">
        <v>0.91184615384615375</v>
      </c>
      <c r="G20" s="15" t="s">
        <v>79</v>
      </c>
      <c r="H20" s="16">
        <v>178</v>
      </c>
      <c r="I20" s="16">
        <v>65</v>
      </c>
    </row>
    <row r="21" spans="4:15">
      <c r="D21" s="15" t="s">
        <v>80</v>
      </c>
      <c r="E21" s="18">
        <v>0.90537500000000004</v>
      </c>
      <c r="G21" s="15" t="s">
        <v>80</v>
      </c>
      <c r="H21" s="16">
        <v>109</v>
      </c>
      <c r="I21" s="16">
        <v>40</v>
      </c>
    </row>
    <row r="22" spans="4:15">
      <c r="D22" s="15" t="s">
        <v>82</v>
      </c>
      <c r="E22" s="18">
        <v>0.91858426966292139</v>
      </c>
      <c r="G22" s="15" t="s">
        <v>82</v>
      </c>
      <c r="H22" s="16">
        <v>1177</v>
      </c>
      <c r="I22" s="16">
        <v>528</v>
      </c>
    </row>
    <row r="28" spans="4:15">
      <c r="F28" s="14"/>
      <c r="G28" s="14"/>
      <c r="H28" s="14"/>
      <c r="I28" s="14"/>
      <c r="J28" s="14"/>
      <c r="K28" s="14"/>
      <c r="L28" s="14"/>
      <c r="O28" s="14"/>
    </row>
    <row r="30" spans="4:15">
      <c r="K30" s="20" t="s">
        <v>88</v>
      </c>
      <c r="L30" s="20" t="s">
        <v>86</v>
      </c>
    </row>
    <row r="31" spans="4:15">
      <c r="K31" s="21" t="s">
        <v>22</v>
      </c>
      <c r="L31" s="19">
        <f>GETPIVOTDATA("Quality Score %",$J$3,"Region","California")</f>
        <v>0.90867999999999993</v>
      </c>
    </row>
    <row r="32" spans="4:15">
      <c r="K32" s="21" t="s">
        <v>32</v>
      </c>
      <c r="L32" s="19">
        <f>GETPIVOTDATA("Quality Score %",$J$3,"Region","Florida")</f>
        <v>0.89919047619047632</v>
      </c>
    </row>
    <row r="33" spans="11:12">
      <c r="K33" s="21" t="s">
        <v>38</v>
      </c>
      <c r="L33" s="19">
        <f>GETPIVOTDATA("Quality Score %",$J$3,"Region","New York")</f>
        <v>0.83890909090909094</v>
      </c>
    </row>
    <row r="34" spans="11:12">
      <c r="K34" s="21" t="s">
        <v>27</v>
      </c>
      <c r="L34" s="19">
        <f>GETPIVOTDATA("Quality Score %",$J$3,"Region","Texas")</f>
        <v>0.9027142857142858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0A94-E23B-4576-997B-E8EFE3ED05AC}">
  <sheetPr codeName="Sheet3"/>
  <dimension ref="A1:R90"/>
  <sheetViews>
    <sheetView topLeftCell="A51" zoomScale="70" zoomScaleNormal="70" workbookViewId="0">
      <selection activeCell="H12" sqref="H12"/>
    </sheetView>
  </sheetViews>
  <sheetFormatPr defaultRowHeight="13.8"/>
  <cols>
    <col min="1" max="1" width="9.8984375" bestFit="1" customWidth="1"/>
    <col min="2" max="2" width="8.69921875" customWidth="1"/>
    <col min="3" max="3" width="8.8984375" customWidth="1"/>
    <col min="4" max="4" width="16.69921875" customWidth="1"/>
    <col min="5" max="5" width="13" customWidth="1"/>
    <col min="7" max="7" width="14.3984375" customWidth="1"/>
    <col min="8" max="8" width="18.296875" customWidth="1"/>
    <col min="9" max="9" width="13.19921875" customWidth="1"/>
    <col min="10" max="10" width="17.09765625" customWidth="1"/>
    <col min="11" max="11" width="14.796875" customWidth="1"/>
    <col min="12" max="13" width="13.59765625" customWidth="1"/>
    <col min="14" max="14" width="16" customWidth="1"/>
    <col min="15" max="15" width="15" customWidth="1"/>
    <col min="16" max="17" width="15.8984375" customWidth="1"/>
    <col min="18" max="18" width="19.3984375" customWidth="1"/>
  </cols>
  <sheetData>
    <row r="1" spans="1:18" ht="14.4">
      <c r="A1" s="7" t="s">
        <v>0</v>
      </c>
      <c r="B1" s="7"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ht="14.4">
      <c r="A2" s="1">
        <v>46023</v>
      </c>
      <c r="B2" s="2" t="s">
        <v>18</v>
      </c>
      <c r="C2" s="2" t="s">
        <v>19</v>
      </c>
      <c r="D2" s="2" t="s">
        <v>20</v>
      </c>
      <c r="E2" s="2" t="s">
        <v>21</v>
      </c>
      <c r="F2" s="2" t="s">
        <v>22</v>
      </c>
      <c r="G2" s="2">
        <v>22</v>
      </c>
      <c r="H2" s="2" t="s">
        <v>23</v>
      </c>
      <c r="I2" s="2">
        <v>8</v>
      </c>
      <c r="J2" s="2">
        <v>10</v>
      </c>
      <c r="K2" s="2">
        <v>0</v>
      </c>
      <c r="L2" s="2">
        <v>8</v>
      </c>
      <c r="M2" s="2">
        <v>8.5</v>
      </c>
      <c r="N2" s="2">
        <v>0.5</v>
      </c>
      <c r="O2" s="3">
        <v>1</v>
      </c>
      <c r="P2" s="3">
        <v>0.91100000000000003</v>
      </c>
      <c r="Q2" s="3">
        <v>0.96399999999999997</v>
      </c>
      <c r="R2" s="2" t="s">
        <v>24</v>
      </c>
    </row>
    <row r="3" spans="1:18" ht="14.4">
      <c r="A3" s="1">
        <v>46025</v>
      </c>
      <c r="B3" s="2" t="s">
        <v>18</v>
      </c>
      <c r="C3" s="2" t="s">
        <v>25</v>
      </c>
      <c r="D3" s="2" t="s">
        <v>26</v>
      </c>
      <c r="E3" s="2" t="s">
        <v>21</v>
      </c>
      <c r="F3" s="2" t="s">
        <v>27</v>
      </c>
      <c r="G3" s="2">
        <v>20</v>
      </c>
      <c r="H3" s="2" t="s">
        <v>28</v>
      </c>
      <c r="I3" s="2">
        <v>19</v>
      </c>
      <c r="J3" s="2">
        <v>20</v>
      </c>
      <c r="K3" s="2">
        <v>0</v>
      </c>
      <c r="L3" s="2">
        <v>7</v>
      </c>
      <c r="M3" s="2">
        <v>6.8</v>
      </c>
      <c r="N3" s="2">
        <v>0</v>
      </c>
      <c r="O3" s="3">
        <v>1</v>
      </c>
      <c r="P3" s="3">
        <v>0.88700000000000001</v>
      </c>
      <c r="Q3" s="3">
        <v>0.95499999999999996</v>
      </c>
      <c r="R3" s="2" t="s">
        <v>24</v>
      </c>
    </row>
    <row r="4" spans="1:18" ht="14.4">
      <c r="A4" s="1">
        <v>46027</v>
      </c>
      <c r="B4" s="2" t="s">
        <v>18</v>
      </c>
      <c r="C4" s="2" t="s">
        <v>29</v>
      </c>
      <c r="D4" s="2" t="s">
        <v>30</v>
      </c>
      <c r="E4" s="2" t="s">
        <v>31</v>
      </c>
      <c r="F4" s="2" t="s">
        <v>32</v>
      </c>
      <c r="G4" s="2">
        <v>20</v>
      </c>
      <c r="H4" s="2" t="s">
        <v>23</v>
      </c>
      <c r="I4" s="2">
        <v>11</v>
      </c>
      <c r="J4" s="2">
        <v>12</v>
      </c>
      <c r="K4" s="2">
        <v>0</v>
      </c>
      <c r="L4" s="2">
        <v>9</v>
      </c>
      <c r="M4" s="2">
        <v>9.6999999999999993</v>
      </c>
      <c r="N4" s="2">
        <v>0.7</v>
      </c>
      <c r="O4" s="3">
        <v>1</v>
      </c>
      <c r="P4" s="3">
        <v>0.92400000000000004</v>
      </c>
      <c r="Q4" s="3">
        <v>0.97</v>
      </c>
      <c r="R4" s="2" t="s">
        <v>24</v>
      </c>
    </row>
    <row r="5" spans="1:18" ht="14.4">
      <c r="A5" s="1">
        <v>46029</v>
      </c>
      <c r="B5" s="2" t="s">
        <v>18</v>
      </c>
      <c r="C5" s="2" t="s">
        <v>33</v>
      </c>
      <c r="D5" s="2" t="s">
        <v>34</v>
      </c>
      <c r="E5" s="2" t="s">
        <v>31</v>
      </c>
      <c r="F5" s="2" t="s">
        <v>22</v>
      </c>
      <c r="G5" s="2">
        <v>22</v>
      </c>
      <c r="H5" s="2" t="s">
        <v>28</v>
      </c>
      <c r="I5" s="2">
        <v>16</v>
      </c>
      <c r="J5" s="2">
        <v>16</v>
      </c>
      <c r="K5" s="2">
        <v>0</v>
      </c>
      <c r="L5" s="2">
        <v>7</v>
      </c>
      <c r="M5" s="2">
        <v>8.6999999999999993</v>
      </c>
      <c r="N5" s="2">
        <v>1.7</v>
      </c>
      <c r="O5" s="3">
        <v>0.99199999999999999</v>
      </c>
      <c r="P5" s="3">
        <v>0.93300000000000005</v>
      </c>
      <c r="Q5" s="3">
        <v>0.96799999999999997</v>
      </c>
      <c r="R5" s="2" t="s">
        <v>24</v>
      </c>
    </row>
    <row r="6" spans="1:18" ht="14.4">
      <c r="A6" s="1">
        <v>46031</v>
      </c>
      <c r="B6" s="2" t="s">
        <v>18</v>
      </c>
      <c r="C6" s="2" t="s">
        <v>35</v>
      </c>
      <c r="D6" s="2" t="s">
        <v>36</v>
      </c>
      <c r="E6" s="2" t="s">
        <v>37</v>
      </c>
      <c r="F6" s="2" t="s">
        <v>38</v>
      </c>
      <c r="G6" s="2">
        <v>20</v>
      </c>
      <c r="H6" s="2" t="s">
        <v>23</v>
      </c>
      <c r="I6" s="2">
        <v>19</v>
      </c>
      <c r="J6" s="2">
        <v>19</v>
      </c>
      <c r="K6" s="2">
        <v>0</v>
      </c>
      <c r="L6" s="2">
        <v>8</v>
      </c>
      <c r="M6" s="2">
        <v>7.7</v>
      </c>
      <c r="N6" s="2">
        <v>0</v>
      </c>
      <c r="O6" s="3">
        <v>0.96399999999999997</v>
      </c>
      <c r="P6" s="3">
        <v>0.89100000000000001</v>
      </c>
      <c r="Q6" s="3">
        <v>0.93500000000000005</v>
      </c>
      <c r="R6" s="2" t="s">
        <v>24</v>
      </c>
    </row>
    <row r="7" spans="1:18" ht="14.4">
      <c r="A7" s="1">
        <v>46033</v>
      </c>
      <c r="B7" s="2" t="s">
        <v>18</v>
      </c>
      <c r="C7" s="2" t="s">
        <v>39</v>
      </c>
      <c r="D7" s="2" t="s">
        <v>40</v>
      </c>
      <c r="E7" s="2" t="s">
        <v>37</v>
      </c>
      <c r="F7" s="2" t="s">
        <v>27</v>
      </c>
      <c r="G7" s="2">
        <v>21</v>
      </c>
      <c r="H7" s="2" t="s">
        <v>23</v>
      </c>
      <c r="I7" s="2">
        <v>9</v>
      </c>
      <c r="J7" s="2">
        <v>9</v>
      </c>
      <c r="K7" s="2">
        <v>10</v>
      </c>
      <c r="L7" s="2">
        <v>7</v>
      </c>
      <c r="M7" s="2">
        <v>6.7</v>
      </c>
      <c r="N7" s="2">
        <v>0</v>
      </c>
      <c r="O7" s="3">
        <v>0.97699999999999998</v>
      </c>
      <c r="P7" s="3">
        <v>0.93300000000000005</v>
      </c>
      <c r="Q7" s="3">
        <v>0.95899999999999996</v>
      </c>
      <c r="R7" s="2" t="s">
        <v>24</v>
      </c>
    </row>
    <row r="8" spans="1:18" ht="14.4">
      <c r="A8" s="1">
        <v>46035</v>
      </c>
      <c r="B8" s="2" t="s">
        <v>18</v>
      </c>
      <c r="C8" s="2" t="s">
        <v>41</v>
      </c>
      <c r="D8" s="2" t="s">
        <v>42</v>
      </c>
      <c r="E8" s="2" t="s">
        <v>43</v>
      </c>
      <c r="F8" s="2" t="s">
        <v>32</v>
      </c>
      <c r="G8" s="2">
        <v>21</v>
      </c>
      <c r="H8" s="2" t="s">
        <v>23</v>
      </c>
      <c r="I8" s="2">
        <v>19</v>
      </c>
      <c r="J8" s="2">
        <v>19</v>
      </c>
      <c r="K8" s="2">
        <v>0</v>
      </c>
      <c r="L8" s="2">
        <v>9</v>
      </c>
      <c r="M8" s="2">
        <v>10.7</v>
      </c>
      <c r="N8" s="2">
        <v>1.7</v>
      </c>
      <c r="O8" s="3">
        <v>0.94</v>
      </c>
      <c r="P8" s="3">
        <v>1</v>
      </c>
      <c r="Q8" s="3">
        <v>0.96399999999999997</v>
      </c>
      <c r="R8" s="2" t="s">
        <v>24</v>
      </c>
    </row>
    <row r="9" spans="1:18" ht="14.4">
      <c r="A9" s="1">
        <v>46037</v>
      </c>
      <c r="B9" s="2" t="s">
        <v>18</v>
      </c>
      <c r="C9" s="2" t="s">
        <v>44</v>
      </c>
      <c r="D9" s="2" t="s">
        <v>45</v>
      </c>
      <c r="E9" s="2" t="s">
        <v>43</v>
      </c>
      <c r="F9" s="2" t="s">
        <v>22</v>
      </c>
      <c r="G9" s="2">
        <v>20</v>
      </c>
      <c r="H9" s="2" t="s">
        <v>46</v>
      </c>
      <c r="I9" s="2">
        <v>12</v>
      </c>
      <c r="J9" s="2">
        <v>15</v>
      </c>
      <c r="K9" s="2">
        <v>0</v>
      </c>
      <c r="L9" s="2">
        <v>9</v>
      </c>
      <c r="M9" s="2">
        <v>9.8000000000000007</v>
      </c>
      <c r="N9" s="2">
        <v>0.8</v>
      </c>
      <c r="O9" s="3">
        <v>1</v>
      </c>
      <c r="P9" s="3">
        <v>1</v>
      </c>
      <c r="Q9" s="3">
        <v>1</v>
      </c>
      <c r="R9" s="2" t="s">
        <v>24</v>
      </c>
    </row>
    <row r="10" spans="1:18" ht="14.4">
      <c r="A10" s="1">
        <v>46039</v>
      </c>
      <c r="B10" s="2" t="s">
        <v>18</v>
      </c>
      <c r="C10" s="2" t="s">
        <v>47</v>
      </c>
      <c r="D10" s="2" t="s">
        <v>48</v>
      </c>
      <c r="E10" s="2" t="s">
        <v>49</v>
      </c>
      <c r="F10" s="2" t="s">
        <v>38</v>
      </c>
      <c r="G10" s="2">
        <v>22</v>
      </c>
      <c r="H10" s="2" t="s">
        <v>23</v>
      </c>
      <c r="I10" s="2">
        <v>19</v>
      </c>
      <c r="J10" s="2">
        <v>16</v>
      </c>
      <c r="K10" s="2">
        <v>30</v>
      </c>
      <c r="L10" s="2">
        <v>7</v>
      </c>
      <c r="M10" s="2">
        <v>6.5</v>
      </c>
      <c r="N10" s="2">
        <v>0</v>
      </c>
      <c r="O10" s="3">
        <v>0.86799999999999999</v>
      </c>
      <c r="P10" s="3">
        <v>0.91800000000000004</v>
      </c>
      <c r="Q10" s="3">
        <v>0.88800000000000001</v>
      </c>
      <c r="R10" s="2" t="s">
        <v>50</v>
      </c>
    </row>
    <row r="11" spans="1:18" ht="14.4">
      <c r="A11" s="1">
        <v>46041</v>
      </c>
      <c r="B11" s="2" t="s">
        <v>18</v>
      </c>
      <c r="C11" s="2" t="s">
        <v>51</v>
      </c>
      <c r="D11" s="2" t="s">
        <v>52</v>
      </c>
      <c r="E11" s="2" t="s">
        <v>49</v>
      </c>
      <c r="F11" s="2" t="s">
        <v>32</v>
      </c>
      <c r="G11" s="2">
        <v>20</v>
      </c>
      <c r="H11" s="2" t="s">
        <v>23</v>
      </c>
      <c r="I11" s="2">
        <v>9</v>
      </c>
      <c r="J11" s="2">
        <v>9</v>
      </c>
      <c r="K11" s="2">
        <v>40</v>
      </c>
      <c r="L11" s="2">
        <v>8</v>
      </c>
      <c r="M11" s="2">
        <v>8.6</v>
      </c>
      <c r="N11" s="2">
        <v>0.6</v>
      </c>
      <c r="O11" s="3">
        <v>0.99299999999999999</v>
      </c>
      <c r="P11" s="3">
        <v>1</v>
      </c>
      <c r="Q11" s="3">
        <v>0.996</v>
      </c>
      <c r="R11" s="2" t="s">
        <v>24</v>
      </c>
    </row>
    <row r="12" spans="1:18" ht="14.4">
      <c r="A12" s="1">
        <v>46045</v>
      </c>
      <c r="B12" s="2" t="s">
        <v>18</v>
      </c>
      <c r="C12" s="2" t="s">
        <v>53</v>
      </c>
      <c r="D12" s="2" t="s">
        <v>54</v>
      </c>
      <c r="E12" s="2" t="s">
        <v>55</v>
      </c>
      <c r="F12" s="2" t="s">
        <v>22</v>
      </c>
      <c r="G12" s="2">
        <v>22</v>
      </c>
      <c r="H12" s="2" t="s">
        <v>23</v>
      </c>
      <c r="I12" s="2">
        <v>17</v>
      </c>
      <c r="J12" s="2">
        <v>19</v>
      </c>
      <c r="K12" s="2">
        <v>0</v>
      </c>
      <c r="L12" s="2">
        <v>7</v>
      </c>
      <c r="M12" s="2">
        <v>6.5</v>
      </c>
      <c r="N12" s="2">
        <v>0</v>
      </c>
      <c r="O12" s="3">
        <v>1</v>
      </c>
      <c r="P12" s="3">
        <v>0.93400000000000005</v>
      </c>
      <c r="Q12" s="3">
        <v>0.97399999999999998</v>
      </c>
      <c r="R12" s="2" t="s">
        <v>24</v>
      </c>
    </row>
    <row r="13" spans="1:18" ht="14.4">
      <c r="A13" s="1">
        <v>46047</v>
      </c>
      <c r="B13" s="2" t="s">
        <v>18</v>
      </c>
      <c r="C13" s="2" t="s">
        <v>56</v>
      </c>
      <c r="D13" s="2" t="s">
        <v>57</v>
      </c>
      <c r="E13" s="2" t="s">
        <v>21</v>
      </c>
      <c r="F13" s="2" t="s">
        <v>38</v>
      </c>
      <c r="G13" s="2">
        <v>21</v>
      </c>
      <c r="H13" s="2" t="s">
        <v>23</v>
      </c>
      <c r="I13" s="2">
        <v>12</v>
      </c>
      <c r="J13" s="2">
        <v>14</v>
      </c>
      <c r="K13" s="2">
        <v>50</v>
      </c>
      <c r="L13" s="2">
        <v>9</v>
      </c>
      <c r="M13" s="2">
        <v>9.3000000000000007</v>
      </c>
      <c r="N13" s="2">
        <v>0.3</v>
      </c>
      <c r="O13" s="3">
        <v>1</v>
      </c>
      <c r="P13" s="3">
        <v>1</v>
      </c>
      <c r="Q13" s="3">
        <v>1</v>
      </c>
      <c r="R13" s="2" t="s">
        <v>24</v>
      </c>
    </row>
    <row r="14" spans="1:18" ht="14.4">
      <c r="A14" s="1">
        <v>46049</v>
      </c>
      <c r="B14" s="2" t="s">
        <v>18</v>
      </c>
      <c r="C14" s="2" t="s">
        <v>58</v>
      </c>
      <c r="D14" s="2" t="s">
        <v>59</v>
      </c>
      <c r="E14" s="2" t="s">
        <v>31</v>
      </c>
      <c r="F14" s="2" t="s">
        <v>27</v>
      </c>
      <c r="G14" s="2">
        <v>20</v>
      </c>
      <c r="H14" s="2" t="s">
        <v>23</v>
      </c>
      <c r="I14" s="2">
        <v>8</v>
      </c>
      <c r="J14" s="2">
        <v>11</v>
      </c>
      <c r="K14" s="2">
        <v>0</v>
      </c>
      <c r="L14" s="2">
        <v>8</v>
      </c>
      <c r="M14" s="2">
        <v>5.9</v>
      </c>
      <c r="N14" s="2">
        <v>0</v>
      </c>
      <c r="O14" s="3">
        <v>1</v>
      </c>
      <c r="P14" s="3">
        <v>0.89500000000000002</v>
      </c>
      <c r="Q14" s="3">
        <v>0.95799999999999996</v>
      </c>
      <c r="R14" s="2" t="s">
        <v>24</v>
      </c>
    </row>
    <row r="15" spans="1:18" ht="14.4">
      <c r="A15" s="1">
        <v>46051</v>
      </c>
      <c r="B15" s="2" t="s">
        <v>18</v>
      </c>
      <c r="C15" s="2" t="s">
        <v>60</v>
      </c>
      <c r="D15" s="2" t="s">
        <v>61</v>
      </c>
      <c r="E15" s="2" t="s">
        <v>37</v>
      </c>
      <c r="F15" s="2" t="s">
        <v>32</v>
      </c>
      <c r="G15" s="2">
        <v>22</v>
      </c>
      <c r="H15" s="2" t="s">
        <v>28</v>
      </c>
      <c r="I15" s="2">
        <v>13</v>
      </c>
      <c r="J15" s="2">
        <v>11</v>
      </c>
      <c r="K15" s="2">
        <v>2</v>
      </c>
      <c r="L15" s="2">
        <v>9</v>
      </c>
      <c r="M15" s="2">
        <v>7.1</v>
      </c>
      <c r="N15" s="2">
        <v>0</v>
      </c>
      <c r="O15" s="3">
        <v>0.84599999999999997</v>
      </c>
      <c r="P15" s="3">
        <v>0.92100000000000004</v>
      </c>
      <c r="Q15" s="3">
        <v>0.876</v>
      </c>
      <c r="R15" s="2" t="s">
        <v>50</v>
      </c>
    </row>
    <row r="16" spans="1:18" ht="14.4">
      <c r="A16" s="1">
        <v>46053</v>
      </c>
      <c r="B16" s="2" t="s">
        <v>18</v>
      </c>
      <c r="C16" s="2" t="s">
        <v>62</v>
      </c>
      <c r="D16" s="2" t="s">
        <v>63</v>
      </c>
      <c r="E16" s="2" t="s">
        <v>43</v>
      </c>
      <c r="F16" s="2" t="s">
        <v>38</v>
      </c>
      <c r="G16" s="2">
        <v>22</v>
      </c>
      <c r="H16" s="2" t="s">
        <v>23</v>
      </c>
      <c r="I16" s="2">
        <v>10</v>
      </c>
      <c r="J16" s="2">
        <v>9</v>
      </c>
      <c r="K16" s="2">
        <v>1</v>
      </c>
      <c r="L16" s="2">
        <v>7</v>
      </c>
      <c r="M16" s="2">
        <v>6.4</v>
      </c>
      <c r="N16" s="2">
        <v>0</v>
      </c>
      <c r="O16" s="3">
        <v>0.85899999999999999</v>
      </c>
      <c r="P16" s="3">
        <v>0.86299999999999999</v>
      </c>
      <c r="Q16" s="3">
        <v>0.86099999999999999</v>
      </c>
      <c r="R16" s="2" t="s">
        <v>50</v>
      </c>
    </row>
    <row r="17" spans="1:18" ht="14.4">
      <c r="A17" s="1">
        <v>46055</v>
      </c>
      <c r="B17" s="2" t="s">
        <v>64</v>
      </c>
      <c r="C17" s="2" t="s">
        <v>65</v>
      </c>
      <c r="D17" s="2" t="s">
        <v>66</v>
      </c>
      <c r="E17" s="2" t="s">
        <v>49</v>
      </c>
      <c r="F17" s="2" t="s">
        <v>22</v>
      </c>
      <c r="G17" s="2">
        <v>21</v>
      </c>
      <c r="H17" s="2" t="s">
        <v>28</v>
      </c>
      <c r="I17" s="2">
        <v>17</v>
      </c>
      <c r="J17" s="2">
        <v>17</v>
      </c>
      <c r="K17" s="2">
        <v>0</v>
      </c>
      <c r="L17" s="2">
        <v>9</v>
      </c>
      <c r="M17" s="2">
        <v>7.9</v>
      </c>
      <c r="N17" s="2">
        <v>0</v>
      </c>
      <c r="O17" s="3">
        <v>0.98399999999999999</v>
      </c>
      <c r="P17" s="3">
        <v>0.91200000000000003</v>
      </c>
      <c r="Q17" s="3">
        <v>0.95499999999999996</v>
      </c>
      <c r="R17" s="2" t="s">
        <v>24</v>
      </c>
    </row>
    <row r="18" spans="1:18" ht="14.4">
      <c r="A18" s="1">
        <v>46057</v>
      </c>
      <c r="B18" s="2" t="s">
        <v>64</v>
      </c>
      <c r="C18" s="2" t="s">
        <v>67</v>
      </c>
      <c r="D18" s="2" t="s">
        <v>68</v>
      </c>
      <c r="E18" s="2" t="s">
        <v>55</v>
      </c>
      <c r="F18" s="2" t="s">
        <v>32</v>
      </c>
      <c r="G18" s="2">
        <v>20</v>
      </c>
      <c r="H18" s="2" t="s">
        <v>46</v>
      </c>
      <c r="I18" s="2">
        <v>15</v>
      </c>
      <c r="J18" s="2">
        <v>12</v>
      </c>
      <c r="K18" s="2">
        <v>3</v>
      </c>
      <c r="L18" s="2">
        <v>7</v>
      </c>
      <c r="M18" s="2">
        <v>7.3</v>
      </c>
      <c r="N18" s="2">
        <v>0.3</v>
      </c>
      <c r="O18" s="3">
        <v>0.85799999999999998</v>
      </c>
      <c r="P18" s="3">
        <v>0.77200000000000002</v>
      </c>
      <c r="Q18" s="3">
        <v>0.82399999999999995</v>
      </c>
      <c r="R18" s="2" t="s">
        <v>50</v>
      </c>
    </row>
    <row r="19" spans="1:18" ht="14.4">
      <c r="A19" s="1">
        <v>46061</v>
      </c>
      <c r="B19" s="2" t="s">
        <v>64</v>
      </c>
      <c r="C19" s="2" t="s">
        <v>69</v>
      </c>
      <c r="D19" s="2" t="s">
        <v>70</v>
      </c>
      <c r="E19" s="2" t="s">
        <v>31</v>
      </c>
      <c r="F19" s="2" t="s">
        <v>38</v>
      </c>
      <c r="G19" s="2">
        <v>21</v>
      </c>
      <c r="H19" s="2" t="s">
        <v>46</v>
      </c>
      <c r="I19" s="2">
        <v>12</v>
      </c>
      <c r="J19" s="2">
        <v>13</v>
      </c>
      <c r="K19" s="2">
        <v>70</v>
      </c>
      <c r="L19" s="2">
        <v>7</v>
      </c>
      <c r="M19" s="2">
        <v>5.4</v>
      </c>
      <c r="N19" s="2">
        <v>0</v>
      </c>
      <c r="O19" s="3">
        <v>1</v>
      </c>
      <c r="P19" s="3">
        <v>0.90500000000000003</v>
      </c>
      <c r="Q19" s="3">
        <v>0.96199999999999997</v>
      </c>
      <c r="R19" s="2" t="s">
        <v>24</v>
      </c>
    </row>
    <row r="20" spans="1:18" ht="14.4">
      <c r="A20" s="1">
        <v>46063</v>
      </c>
      <c r="B20" s="2" t="s">
        <v>64</v>
      </c>
      <c r="C20" s="2" t="s">
        <v>19</v>
      </c>
      <c r="D20" s="2" t="s">
        <v>20</v>
      </c>
      <c r="E20" s="2" t="s">
        <v>21</v>
      </c>
      <c r="F20" s="2" t="s">
        <v>22</v>
      </c>
      <c r="G20" s="2">
        <v>22</v>
      </c>
      <c r="H20" s="2" t="s">
        <v>23</v>
      </c>
      <c r="I20" s="2">
        <v>20</v>
      </c>
      <c r="J20" s="2">
        <v>22</v>
      </c>
      <c r="K20" s="2">
        <v>0</v>
      </c>
      <c r="L20" s="2">
        <v>8</v>
      </c>
      <c r="M20" s="2">
        <v>9.6</v>
      </c>
      <c r="N20" s="2">
        <v>1.6</v>
      </c>
      <c r="O20" s="3">
        <v>1</v>
      </c>
      <c r="P20" s="3">
        <v>0.97599999999999998</v>
      </c>
      <c r="Q20" s="3">
        <v>0.99</v>
      </c>
      <c r="R20" s="2" t="s">
        <v>24</v>
      </c>
    </row>
    <row r="21" spans="1:18" ht="14.4">
      <c r="A21" s="1">
        <v>46065</v>
      </c>
      <c r="B21" s="2" t="s">
        <v>64</v>
      </c>
      <c r="C21" s="2" t="s">
        <v>25</v>
      </c>
      <c r="D21" s="2" t="s">
        <v>26</v>
      </c>
      <c r="E21" s="2" t="s">
        <v>21</v>
      </c>
      <c r="F21" s="2" t="s">
        <v>27</v>
      </c>
      <c r="G21" s="2">
        <v>21</v>
      </c>
      <c r="H21" s="2" t="s">
        <v>23</v>
      </c>
      <c r="I21" s="2">
        <v>19</v>
      </c>
      <c r="J21" s="2">
        <v>21</v>
      </c>
      <c r="K21" s="2">
        <v>0</v>
      </c>
      <c r="L21" s="2">
        <v>8</v>
      </c>
      <c r="M21" s="2">
        <v>7.8</v>
      </c>
      <c r="N21" s="2">
        <v>0</v>
      </c>
      <c r="O21" s="3">
        <v>1</v>
      </c>
      <c r="P21" s="3">
        <v>1</v>
      </c>
      <c r="Q21" s="3">
        <v>1</v>
      </c>
      <c r="R21" s="2" t="s">
        <v>24</v>
      </c>
    </row>
    <row r="22" spans="1:18" ht="14.4">
      <c r="A22" s="1">
        <v>46067</v>
      </c>
      <c r="B22" s="2" t="s">
        <v>64</v>
      </c>
      <c r="C22" s="2" t="s">
        <v>29</v>
      </c>
      <c r="D22" s="2" t="s">
        <v>30</v>
      </c>
      <c r="E22" s="2" t="s">
        <v>31</v>
      </c>
      <c r="F22" s="2" t="s">
        <v>32</v>
      </c>
      <c r="G22" s="2">
        <v>22</v>
      </c>
      <c r="H22" s="2" t="s">
        <v>23</v>
      </c>
      <c r="I22" s="2">
        <v>18</v>
      </c>
      <c r="J22" s="2">
        <v>17</v>
      </c>
      <c r="K22" s="2">
        <v>1</v>
      </c>
      <c r="L22" s="2">
        <v>9</v>
      </c>
      <c r="M22" s="2">
        <v>9.1</v>
      </c>
      <c r="N22" s="2">
        <v>0.1</v>
      </c>
      <c r="O22" s="3">
        <v>0.94599999999999995</v>
      </c>
      <c r="P22" s="3">
        <v>0.87</v>
      </c>
      <c r="Q22" s="3">
        <v>0.91600000000000004</v>
      </c>
      <c r="R22" s="2" t="s">
        <v>24</v>
      </c>
    </row>
    <row r="23" spans="1:18" ht="14.4">
      <c r="A23" s="1">
        <v>46069</v>
      </c>
      <c r="B23" s="2" t="s">
        <v>64</v>
      </c>
      <c r="C23" s="2" t="s">
        <v>33</v>
      </c>
      <c r="D23" s="2" t="s">
        <v>34</v>
      </c>
      <c r="E23" s="2" t="s">
        <v>31</v>
      </c>
      <c r="F23" s="2" t="s">
        <v>22</v>
      </c>
      <c r="G23" s="2">
        <v>21</v>
      </c>
      <c r="H23" s="2" t="s">
        <v>23</v>
      </c>
      <c r="I23" s="2">
        <v>16</v>
      </c>
      <c r="J23" s="2">
        <v>19</v>
      </c>
      <c r="K23" s="2">
        <v>0</v>
      </c>
      <c r="L23" s="2">
        <v>9</v>
      </c>
      <c r="M23" s="2">
        <v>7.4</v>
      </c>
      <c r="N23" s="2">
        <v>0</v>
      </c>
      <c r="O23" s="3">
        <v>1</v>
      </c>
      <c r="P23" s="3">
        <v>1</v>
      </c>
      <c r="Q23" s="3">
        <v>1</v>
      </c>
      <c r="R23" s="2" t="s">
        <v>24</v>
      </c>
    </row>
    <row r="24" spans="1:18" ht="14.4">
      <c r="A24" s="1">
        <v>46071</v>
      </c>
      <c r="B24" s="2" t="s">
        <v>64</v>
      </c>
      <c r="C24" s="2" t="s">
        <v>35</v>
      </c>
      <c r="D24" s="2" t="s">
        <v>36</v>
      </c>
      <c r="E24" s="2" t="s">
        <v>37</v>
      </c>
      <c r="F24" s="2" t="s">
        <v>38</v>
      </c>
      <c r="G24" s="2">
        <v>21</v>
      </c>
      <c r="H24" s="2" t="s">
        <v>23</v>
      </c>
      <c r="I24" s="2">
        <v>9</v>
      </c>
      <c r="J24" s="2">
        <v>8</v>
      </c>
      <c r="K24" s="2">
        <v>1</v>
      </c>
      <c r="L24" s="2">
        <v>8</v>
      </c>
      <c r="M24" s="2">
        <v>7.4</v>
      </c>
      <c r="N24" s="2">
        <v>0</v>
      </c>
      <c r="O24" s="3">
        <v>0.84699999999999998</v>
      </c>
      <c r="P24" s="3">
        <v>0.78</v>
      </c>
      <c r="Q24" s="3">
        <v>0.82</v>
      </c>
      <c r="R24" s="2" t="s">
        <v>50</v>
      </c>
    </row>
    <row r="25" spans="1:18" ht="14.4">
      <c r="A25" s="1">
        <v>46073</v>
      </c>
      <c r="B25" s="2" t="s">
        <v>64</v>
      </c>
      <c r="C25" s="2" t="s">
        <v>39</v>
      </c>
      <c r="D25" s="2" t="s">
        <v>40</v>
      </c>
      <c r="E25" s="2" t="s">
        <v>37</v>
      </c>
      <c r="F25" s="2" t="s">
        <v>27</v>
      </c>
      <c r="G25" s="2">
        <v>22</v>
      </c>
      <c r="H25" s="2" t="s">
        <v>23</v>
      </c>
      <c r="I25" s="2">
        <v>9</v>
      </c>
      <c r="J25" s="2">
        <v>11</v>
      </c>
      <c r="K25" s="2">
        <v>0</v>
      </c>
      <c r="L25" s="2">
        <v>8</v>
      </c>
      <c r="M25" s="2">
        <v>8.1</v>
      </c>
      <c r="N25" s="2">
        <v>0.1</v>
      </c>
      <c r="O25" s="3">
        <v>1</v>
      </c>
      <c r="P25" s="3">
        <v>1</v>
      </c>
      <c r="Q25" s="3">
        <v>1</v>
      </c>
      <c r="R25" s="2" t="s">
        <v>24</v>
      </c>
    </row>
    <row r="26" spans="1:18" ht="14.4">
      <c r="A26" s="1">
        <v>46075</v>
      </c>
      <c r="B26" s="2" t="s">
        <v>64</v>
      </c>
      <c r="C26" s="2" t="s">
        <v>41</v>
      </c>
      <c r="D26" s="2" t="s">
        <v>42</v>
      </c>
      <c r="E26" s="2" t="s">
        <v>43</v>
      </c>
      <c r="F26" s="2" t="s">
        <v>32</v>
      </c>
      <c r="G26" s="2">
        <v>22</v>
      </c>
      <c r="H26" s="2" t="s">
        <v>23</v>
      </c>
      <c r="I26" s="2">
        <v>10</v>
      </c>
      <c r="J26" s="2">
        <v>12</v>
      </c>
      <c r="K26" s="2">
        <v>0</v>
      </c>
      <c r="L26" s="2">
        <v>8</v>
      </c>
      <c r="M26" s="2">
        <v>6.7</v>
      </c>
      <c r="N26" s="2">
        <v>0</v>
      </c>
      <c r="O26" s="3">
        <v>1</v>
      </c>
      <c r="P26" s="3">
        <v>0.91600000000000004</v>
      </c>
      <c r="Q26" s="3">
        <v>0.96599999999999997</v>
      </c>
      <c r="R26" s="2" t="s">
        <v>24</v>
      </c>
    </row>
    <row r="27" spans="1:18" ht="14.4">
      <c r="A27" s="1">
        <v>46077</v>
      </c>
      <c r="B27" s="2" t="s">
        <v>64</v>
      </c>
      <c r="C27" s="2" t="s">
        <v>44</v>
      </c>
      <c r="D27" s="2" t="s">
        <v>45</v>
      </c>
      <c r="E27" s="2" t="s">
        <v>43</v>
      </c>
      <c r="F27" s="2" t="s">
        <v>22</v>
      </c>
      <c r="G27" s="2">
        <v>22</v>
      </c>
      <c r="H27" s="2" t="s">
        <v>46</v>
      </c>
      <c r="I27" s="2">
        <v>14</v>
      </c>
      <c r="J27" s="2">
        <v>12</v>
      </c>
      <c r="K27" s="2">
        <v>2</v>
      </c>
      <c r="L27" s="2">
        <v>9</v>
      </c>
      <c r="M27" s="2">
        <v>9.4</v>
      </c>
      <c r="N27" s="2">
        <v>0.4</v>
      </c>
      <c r="O27" s="3">
        <v>0.89800000000000002</v>
      </c>
      <c r="P27" s="3">
        <v>0.93</v>
      </c>
      <c r="Q27" s="3">
        <v>0.91100000000000003</v>
      </c>
      <c r="R27" s="2" t="s">
        <v>24</v>
      </c>
    </row>
    <row r="28" spans="1:18" ht="14.4">
      <c r="A28" s="1">
        <v>46081</v>
      </c>
      <c r="B28" s="2" t="s">
        <v>64</v>
      </c>
      <c r="C28" s="2" t="s">
        <v>51</v>
      </c>
      <c r="D28" s="2" t="s">
        <v>52</v>
      </c>
      <c r="E28" s="2" t="s">
        <v>49</v>
      </c>
      <c r="F28" s="2" t="s">
        <v>32</v>
      </c>
      <c r="G28" s="2">
        <v>21</v>
      </c>
      <c r="H28" s="2" t="s">
        <v>23</v>
      </c>
      <c r="I28" s="2">
        <v>11</v>
      </c>
      <c r="J28" s="2">
        <v>9</v>
      </c>
      <c r="K28" s="2">
        <v>2</v>
      </c>
      <c r="L28" s="2">
        <v>7</v>
      </c>
      <c r="M28" s="2">
        <v>6.7</v>
      </c>
      <c r="N28" s="2">
        <v>0</v>
      </c>
      <c r="O28" s="3">
        <v>0.79200000000000004</v>
      </c>
      <c r="P28" s="3">
        <v>0.80100000000000005</v>
      </c>
      <c r="Q28" s="3">
        <v>0.79600000000000004</v>
      </c>
      <c r="R28" s="2" t="s">
        <v>50</v>
      </c>
    </row>
    <row r="29" spans="1:18" ht="14.4">
      <c r="A29" s="1">
        <v>46083</v>
      </c>
      <c r="B29" s="2" t="s">
        <v>71</v>
      </c>
      <c r="C29" s="2" t="s">
        <v>72</v>
      </c>
      <c r="D29" s="2" t="s">
        <v>73</v>
      </c>
      <c r="E29" s="2" t="s">
        <v>55</v>
      </c>
      <c r="F29" s="2" t="s">
        <v>27</v>
      </c>
      <c r="G29" s="2">
        <v>20</v>
      </c>
      <c r="H29" s="2" t="s">
        <v>46</v>
      </c>
      <c r="I29" s="2">
        <v>11</v>
      </c>
      <c r="J29" s="2">
        <v>8</v>
      </c>
      <c r="K29" s="2">
        <v>3</v>
      </c>
      <c r="L29" s="2">
        <v>7</v>
      </c>
      <c r="M29" s="2">
        <v>6.3</v>
      </c>
      <c r="N29" s="2">
        <v>0</v>
      </c>
      <c r="O29" s="3">
        <v>0.76100000000000001</v>
      </c>
      <c r="P29" s="3">
        <v>0.65400000000000003</v>
      </c>
      <c r="Q29" s="3">
        <v>0.71799999999999997</v>
      </c>
      <c r="R29" s="2" t="s">
        <v>74</v>
      </c>
    </row>
    <row r="30" spans="1:18" ht="14.4">
      <c r="A30" s="1">
        <v>46085</v>
      </c>
      <c r="B30" s="2" t="s">
        <v>71</v>
      </c>
      <c r="C30" s="2" t="s">
        <v>53</v>
      </c>
      <c r="D30" s="2" t="s">
        <v>54</v>
      </c>
      <c r="E30" s="2" t="s">
        <v>55</v>
      </c>
      <c r="F30" s="2" t="s">
        <v>22</v>
      </c>
      <c r="G30" s="2">
        <v>20</v>
      </c>
      <c r="H30" s="2" t="s">
        <v>23</v>
      </c>
      <c r="I30" s="2">
        <v>13</v>
      </c>
      <c r="J30" s="2">
        <v>10</v>
      </c>
      <c r="K30" s="2">
        <v>3</v>
      </c>
      <c r="L30" s="2">
        <v>9</v>
      </c>
      <c r="M30" s="2">
        <v>11</v>
      </c>
      <c r="N30" s="2">
        <v>2</v>
      </c>
      <c r="O30" s="3">
        <v>0.72699999999999998</v>
      </c>
      <c r="P30" s="3">
        <v>0.754</v>
      </c>
      <c r="Q30" s="3">
        <v>0.73799999999999999</v>
      </c>
      <c r="R30" s="2" t="s">
        <v>74</v>
      </c>
    </row>
    <row r="31" spans="1:18" ht="14.4">
      <c r="A31" s="1">
        <v>46087</v>
      </c>
      <c r="B31" s="2" t="s">
        <v>71</v>
      </c>
      <c r="C31" s="2" t="s">
        <v>56</v>
      </c>
      <c r="D31" s="2" t="s">
        <v>57</v>
      </c>
      <c r="E31" s="2" t="s">
        <v>21</v>
      </c>
      <c r="F31" s="2" t="s">
        <v>38</v>
      </c>
      <c r="G31" s="2">
        <v>20</v>
      </c>
      <c r="H31" s="2" t="s">
        <v>46</v>
      </c>
      <c r="I31" s="2">
        <v>10</v>
      </c>
      <c r="J31" s="2">
        <v>12</v>
      </c>
      <c r="K31" s="2">
        <v>0</v>
      </c>
      <c r="L31" s="2">
        <v>9</v>
      </c>
      <c r="M31" s="2">
        <v>9</v>
      </c>
      <c r="N31" s="2">
        <v>0</v>
      </c>
      <c r="O31" s="3">
        <v>1</v>
      </c>
      <c r="P31" s="3">
        <v>0.93300000000000005</v>
      </c>
      <c r="Q31" s="3">
        <v>0.97299999999999998</v>
      </c>
      <c r="R31" s="2" t="s">
        <v>24</v>
      </c>
    </row>
    <row r="32" spans="1:18" ht="14.4">
      <c r="A32" s="1">
        <v>46089</v>
      </c>
      <c r="B32" s="2" t="s">
        <v>71</v>
      </c>
      <c r="C32" s="2" t="s">
        <v>58</v>
      </c>
      <c r="D32" s="2" t="s">
        <v>59</v>
      </c>
      <c r="E32" s="2" t="s">
        <v>31</v>
      </c>
      <c r="F32" s="2" t="s">
        <v>27</v>
      </c>
      <c r="G32" s="2">
        <v>21</v>
      </c>
      <c r="H32" s="2" t="s">
        <v>23</v>
      </c>
      <c r="I32" s="2">
        <v>11</v>
      </c>
      <c r="J32" s="2">
        <v>8</v>
      </c>
      <c r="K32" s="2">
        <v>50</v>
      </c>
      <c r="L32" s="2">
        <v>7</v>
      </c>
      <c r="M32" s="2">
        <v>5.8</v>
      </c>
      <c r="N32" s="2">
        <v>0</v>
      </c>
      <c r="O32" s="3">
        <v>0.753</v>
      </c>
      <c r="P32" s="3">
        <v>0.71099999999999997</v>
      </c>
      <c r="Q32" s="3">
        <v>0.73599999999999999</v>
      </c>
      <c r="R32" s="2" t="s">
        <v>74</v>
      </c>
    </row>
    <row r="33" spans="1:18" ht="14.4">
      <c r="A33" s="1">
        <v>46091</v>
      </c>
      <c r="B33" s="2" t="s">
        <v>71</v>
      </c>
      <c r="C33" s="2" t="s">
        <v>60</v>
      </c>
      <c r="D33" s="2" t="s">
        <v>61</v>
      </c>
      <c r="E33" s="2" t="s">
        <v>37</v>
      </c>
      <c r="F33" s="2" t="s">
        <v>32</v>
      </c>
      <c r="G33" s="2">
        <v>21</v>
      </c>
      <c r="H33" s="2" t="s">
        <v>23</v>
      </c>
      <c r="I33" s="2">
        <v>19</v>
      </c>
      <c r="J33" s="2">
        <v>16</v>
      </c>
      <c r="K33" s="2">
        <v>3</v>
      </c>
      <c r="L33" s="2">
        <v>9</v>
      </c>
      <c r="M33" s="2">
        <v>9.9</v>
      </c>
      <c r="N33" s="2">
        <v>0.9</v>
      </c>
      <c r="O33" s="3">
        <v>0.86699999999999999</v>
      </c>
      <c r="P33" s="3">
        <v>0.88900000000000001</v>
      </c>
      <c r="Q33" s="3">
        <v>0.876</v>
      </c>
      <c r="R33" s="2" t="s">
        <v>50</v>
      </c>
    </row>
    <row r="34" spans="1:18" ht="14.4">
      <c r="A34" s="1">
        <v>46093</v>
      </c>
      <c r="B34" s="2" t="s">
        <v>71</v>
      </c>
      <c r="C34" s="2" t="s">
        <v>62</v>
      </c>
      <c r="D34" s="2" t="s">
        <v>63</v>
      </c>
      <c r="E34" s="2" t="s">
        <v>43</v>
      </c>
      <c r="F34" s="2" t="s">
        <v>38</v>
      </c>
      <c r="G34" s="2">
        <v>20</v>
      </c>
      <c r="H34" s="2" t="s">
        <v>23</v>
      </c>
      <c r="I34" s="2">
        <v>19</v>
      </c>
      <c r="J34" s="2">
        <v>18</v>
      </c>
      <c r="K34" s="2">
        <v>1</v>
      </c>
      <c r="L34" s="2">
        <v>7</v>
      </c>
      <c r="M34" s="2">
        <v>5.7</v>
      </c>
      <c r="N34" s="2">
        <v>0</v>
      </c>
      <c r="O34" s="3">
        <v>0.90700000000000003</v>
      </c>
      <c r="P34" s="3">
        <v>0.82899999999999996</v>
      </c>
      <c r="Q34" s="3">
        <v>0.876</v>
      </c>
      <c r="R34" s="2" t="s">
        <v>50</v>
      </c>
    </row>
    <row r="35" spans="1:18" ht="14.4">
      <c r="A35" s="1">
        <v>46095</v>
      </c>
      <c r="B35" s="2" t="s">
        <v>71</v>
      </c>
      <c r="C35" s="2" t="s">
        <v>65</v>
      </c>
      <c r="D35" s="2" t="s">
        <v>66</v>
      </c>
      <c r="E35" s="2" t="s">
        <v>49</v>
      </c>
      <c r="F35" s="2" t="s">
        <v>22</v>
      </c>
      <c r="G35" s="2">
        <v>21</v>
      </c>
      <c r="H35" s="2" t="s">
        <v>23</v>
      </c>
      <c r="I35" s="2">
        <v>14</v>
      </c>
      <c r="J35" s="2">
        <v>12</v>
      </c>
      <c r="K35" s="2">
        <v>2</v>
      </c>
      <c r="L35" s="2">
        <v>8</v>
      </c>
      <c r="M35" s="2">
        <v>8.1999999999999993</v>
      </c>
      <c r="N35" s="2">
        <v>0.2</v>
      </c>
      <c r="O35" s="3">
        <v>0.85099999999999998</v>
      </c>
      <c r="P35" s="3">
        <v>0.92300000000000004</v>
      </c>
      <c r="Q35" s="3">
        <v>0.88</v>
      </c>
      <c r="R35" s="2" t="s">
        <v>50</v>
      </c>
    </row>
    <row r="36" spans="1:18" ht="14.4">
      <c r="A36" s="1">
        <v>46097</v>
      </c>
      <c r="B36" s="2" t="s">
        <v>71</v>
      </c>
      <c r="C36" s="2" t="s">
        <v>67</v>
      </c>
      <c r="D36" s="2" t="s">
        <v>68</v>
      </c>
      <c r="E36" s="2" t="s">
        <v>55</v>
      </c>
      <c r="F36" s="2" t="s">
        <v>32</v>
      </c>
      <c r="G36" s="2">
        <v>20</v>
      </c>
      <c r="H36" s="2" t="s">
        <v>23</v>
      </c>
      <c r="I36" s="2">
        <v>20</v>
      </c>
      <c r="J36" s="2">
        <v>23</v>
      </c>
      <c r="K36" s="2">
        <v>0</v>
      </c>
      <c r="L36" s="2">
        <v>9</v>
      </c>
      <c r="M36" s="2">
        <v>6.8</v>
      </c>
      <c r="N36" s="2">
        <v>0</v>
      </c>
      <c r="O36" s="3">
        <v>1</v>
      </c>
      <c r="P36" s="3">
        <v>1</v>
      </c>
      <c r="Q36" s="3">
        <v>1</v>
      </c>
      <c r="R36" s="2" t="s">
        <v>24</v>
      </c>
    </row>
    <row r="37" spans="1:18" ht="14.4">
      <c r="A37" s="1">
        <v>46101</v>
      </c>
      <c r="B37" s="2" t="s">
        <v>71</v>
      </c>
      <c r="C37" s="2" t="s">
        <v>69</v>
      </c>
      <c r="D37" s="2" t="s">
        <v>70</v>
      </c>
      <c r="E37" s="2" t="s">
        <v>31</v>
      </c>
      <c r="F37" s="2" t="s">
        <v>38</v>
      </c>
      <c r="G37" s="2">
        <v>20</v>
      </c>
      <c r="H37" s="2" t="s">
        <v>23</v>
      </c>
      <c r="I37" s="2">
        <v>8</v>
      </c>
      <c r="J37" s="2">
        <v>6</v>
      </c>
      <c r="K37" s="2">
        <v>2</v>
      </c>
      <c r="L37" s="2">
        <v>8</v>
      </c>
      <c r="M37" s="2">
        <v>8.1999999999999993</v>
      </c>
      <c r="N37" s="2">
        <v>0.2</v>
      </c>
      <c r="O37" s="3">
        <v>0.67</v>
      </c>
      <c r="P37" s="3">
        <v>0.63600000000000001</v>
      </c>
      <c r="Q37" s="3">
        <v>0.65600000000000003</v>
      </c>
      <c r="R37" s="2" t="s">
        <v>74</v>
      </c>
    </row>
    <row r="38" spans="1:18" ht="14.4">
      <c r="A38" s="1">
        <v>46103</v>
      </c>
      <c r="B38" s="2" t="s">
        <v>71</v>
      </c>
      <c r="C38" s="2" t="s">
        <v>19</v>
      </c>
      <c r="D38" s="2" t="s">
        <v>20</v>
      </c>
      <c r="E38" s="2" t="s">
        <v>21</v>
      </c>
      <c r="F38" s="2" t="s">
        <v>22</v>
      </c>
      <c r="G38" s="2">
        <v>21</v>
      </c>
      <c r="H38" s="2" t="s">
        <v>23</v>
      </c>
      <c r="I38" s="2">
        <v>14</v>
      </c>
      <c r="J38" s="2">
        <v>16</v>
      </c>
      <c r="K38" s="2">
        <v>0</v>
      </c>
      <c r="L38" s="2">
        <v>9</v>
      </c>
      <c r="M38" s="2">
        <v>9.8000000000000007</v>
      </c>
      <c r="N38" s="2">
        <v>0.8</v>
      </c>
      <c r="O38" s="3">
        <v>1</v>
      </c>
      <c r="P38" s="3">
        <v>1</v>
      </c>
      <c r="Q38" s="3">
        <v>1</v>
      </c>
      <c r="R38" s="2" t="s">
        <v>24</v>
      </c>
    </row>
    <row r="39" spans="1:18" ht="14.4">
      <c r="A39" s="1">
        <v>46105</v>
      </c>
      <c r="B39" s="2" t="s">
        <v>71</v>
      </c>
      <c r="C39" s="2" t="s">
        <v>25</v>
      </c>
      <c r="D39" s="2" t="s">
        <v>26</v>
      </c>
      <c r="E39" s="2" t="s">
        <v>21</v>
      </c>
      <c r="F39" s="2" t="s">
        <v>27</v>
      </c>
      <c r="G39" s="2">
        <v>22</v>
      </c>
      <c r="H39" s="2" t="s">
        <v>23</v>
      </c>
      <c r="I39" s="2">
        <v>10</v>
      </c>
      <c r="J39" s="2">
        <v>8</v>
      </c>
      <c r="K39" s="2">
        <v>2</v>
      </c>
      <c r="L39" s="2">
        <v>8</v>
      </c>
      <c r="M39" s="2">
        <v>8.1999999999999993</v>
      </c>
      <c r="N39" s="2">
        <v>0.2</v>
      </c>
      <c r="O39" s="3">
        <v>0.755</v>
      </c>
      <c r="P39" s="3">
        <v>0.64800000000000002</v>
      </c>
      <c r="Q39" s="3">
        <v>0.71199999999999997</v>
      </c>
      <c r="R39" s="2" t="s">
        <v>74</v>
      </c>
    </row>
    <row r="40" spans="1:18" ht="14.4">
      <c r="A40" s="1">
        <v>46107</v>
      </c>
      <c r="B40" s="2" t="s">
        <v>71</v>
      </c>
      <c r="C40" s="2" t="s">
        <v>29</v>
      </c>
      <c r="D40" s="2" t="s">
        <v>30</v>
      </c>
      <c r="E40" s="2" t="s">
        <v>31</v>
      </c>
      <c r="F40" s="2" t="s">
        <v>32</v>
      </c>
      <c r="G40" s="2">
        <v>22</v>
      </c>
      <c r="H40" s="2" t="s">
        <v>46</v>
      </c>
      <c r="I40" s="2">
        <v>8</v>
      </c>
      <c r="J40" s="2">
        <v>10</v>
      </c>
      <c r="K40" s="2">
        <v>0</v>
      </c>
      <c r="L40" s="2">
        <v>8</v>
      </c>
      <c r="M40" s="2">
        <v>7.9</v>
      </c>
      <c r="N40" s="2">
        <v>0</v>
      </c>
      <c r="O40" s="3">
        <v>1</v>
      </c>
      <c r="P40" s="3">
        <v>1</v>
      </c>
      <c r="Q40" s="3">
        <v>1</v>
      </c>
      <c r="R40" s="2" t="s">
        <v>24</v>
      </c>
    </row>
    <row r="41" spans="1:18" ht="14.4">
      <c r="A41" s="1">
        <v>46109</v>
      </c>
      <c r="B41" s="2" t="s">
        <v>71</v>
      </c>
      <c r="C41" s="2" t="s">
        <v>33</v>
      </c>
      <c r="D41" s="2" t="s">
        <v>34</v>
      </c>
      <c r="E41" s="2" t="s">
        <v>31</v>
      </c>
      <c r="F41" s="2" t="s">
        <v>22</v>
      </c>
      <c r="G41" s="2">
        <v>22</v>
      </c>
      <c r="H41" s="2" t="s">
        <v>46</v>
      </c>
      <c r="I41" s="2">
        <v>10</v>
      </c>
      <c r="J41" s="2">
        <v>7</v>
      </c>
      <c r="K41" s="2">
        <v>3</v>
      </c>
      <c r="L41" s="2">
        <v>9</v>
      </c>
      <c r="M41" s="2">
        <v>8.6999999999999993</v>
      </c>
      <c r="N41" s="2">
        <v>0</v>
      </c>
      <c r="O41" s="3">
        <v>0.63300000000000001</v>
      </c>
      <c r="P41" s="3">
        <v>0.55400000000000005</v>
      </c>
      <c r="Q41" s="3">
        <v>0.60099999999999998</v>
      </c>
      <c r="R41" s="2" t="s">
        <v>74</v>
      </c>
    </row>
    <row r="42" spans="1:18" ht="14.4">
      <c r="A42" s="1">
        <v>46111</v>
      </c>
      <c r="B42" s="2" t="s">
        <v>71</v>
      </c>
      <c r="C42" s="2" t="s">
        <v>35</v>
      </c>
      <c r="D42" s="2" t="s">
        <v>36</v>
      </c>
      <c r="E42" s="2" t="s">
        <v>37</v>
      </c>
      <c r="F42" s="2" t="s">
        <v>38</v>
      </c>
      <c r="G42" s="2">
        <v>22</v>
      </c>
      <c r="H42" s="2" t="s">
        <v>23</v>
      </c>
      <c r="I42" s="2">
        <v>18</v>
      </c>
      <c r="J42" s="2">
        <v>21</v>
      </c>
      <c r="K42" s="2">
        <v>0</v>
      </c>
      <c r="L42" s="2">
        <v>7</v>
      </c>
      <c r="M42" s="2">
        <v>5.4</v>
      </c>
      <c r="N42" s="2">
        <v>0</v>
      </c>
      <c r="O42" s="3">
        <v>1</v>
      </c>
      <c r="P42" s="3">
        <v>1</v>
      </c>
      <c r="Q42" s="3">
        <v>1</v>
      </c>
      <c r="R42" s="2" t="s">
        <v>24</v>
      </c>
    </row>
    <row r="43" spans="1:18" ht="14.4">
      <c r="A43" s="1">
        <v>46113</v>
      </c>
      <c r="B43" s="2" t="s">
        <v>75</v>
      </c>
      <c r="C43" s="2" t="s">
        <v>39</v>
      </c>
      <c r="D43" s="2" t="s">
        <v>40</v>
      </c>
      <c r="E43" s="2" t="s">
        <v>37</v>
      </c>
      <c r="F43" s="2" t="s">
        <v>27</v>
      </c>
      <c r="G43" s="2">
        <v>22</v>
      </c>
      <c r="H43" s="2" t="s">
        <v>23</v>
      </c>
      <c r="I43" s="2">
        <v>17</v>
      </c>
      <c r="J43" s="2">
        <v>18</v>
      </c>
      <c r="K43" s="2">
        <v>0</v>
      </c>
      <c r="L43" s="2">
        <v>7</v>
      </c>
      <c r="M43" s="2">
        <v>6.2</v>
      </c>
      <c r="N43" s="2">
        <v>0</v>
      </c>
      <c r="O43" s="3">
        <v>1</v>
      </c>
      <c r="P43" s="3">
        <v>0.97199999999999998</v>
      </c>
      <c r="Q43" s="3">
        <v>0.98899999999999999</v>
      </c>
      <c r="R43" s="2" t="s">
        <v>24</v>
      </c>
    </row>
    <row r="44" spans="1:18" ht="14.4">
      <c r="A44" s="1">
        <v>46117</v>
      </c>
      <c r="B44" s="2" t="s">
        <v>75</v>
      </c>
      <c r="C44" s="2" t="s">
        <v>44</v>
      </c>
      <c r="D44" s="2" t="s">
        <v>45</v>
      </c>
      <c r="E44" s="2" t="s">
        <v>43</v>
      </c>
      <c r="F44" s="2" t="s">
        <v>22</v>
      </c>
      <c r="G44" s="2">
        <v>20</v>
      </c>
      <c r="H44" s="2" t="s">
        <v>23</v>
      </c>
      <c r="I44" s="2">
        <v>14</v>
      </c>
      <c r="J44" s="2">
        <v>12</v>
      </c>
      <c r="K44" s="2">
        <v>2</v>
      </c>
      <c r="L44" s="2">
        <v>9</v>
      </c>
      <c r="M44" s="2">
        <v>10.199999999999999</v>
      </c>
      <c r="N44" s="2">
        <v>1.2</v>
      </c>
      <c r="O44" s="3">
        <v>0.88</v>
      </c>
      <c r="P44" s="3">
        <v>0.86099999999999999</v>
      </c>
      <c r="Q44" s="3">
        <v>0.872</v>
      </c>
      <c r="R44" s="2" t="s">
        <v>50</v>
      </c>
    </row>
    <row r="45" spans="1:18" ht="14.4">
      <c r="A45" s="1">
        <v>46119</v>
      </c>
      <c r="B45" s="2" t="s">
        <v>75</v>
      </c>
      <c r="C45" s="2" t="s">
        <v>47</v>
      </c>
      <c r="D45" s="2" t="s">
        <v>48</v>
      </c>
      <c r="E45" s="2" t="s">
        <v>49</v>
      </c>
      <c r="F45" s="2" t="s">
        <v>38</v>
      </c>
      <c r="G45" s="2">
        <v>20</v>
      </c>
      <c r="H45" s="2" t="s">
        <v>23</v>
      </c>
      <c r="I45" s="2">
        <v>15</v>
      </c>
      <c r="J45" s="2">
        <v>16</v>
      </c>
      <c r="K45" s="2">
        <v>0</v>
      </c>
      <c r="L45" s="2">
        <v>9</v>
      </c>
      <c r="M45" s="2">
        <v>9.4</v>
      </c>
      <c r="N45" s="2">
        <v>0.4</v>
      </c>
      <c r="O45" s="3">
        <v>1</v>
      </c>
      <c r="P45" s="3">
        <v>0.89600000000000002</v>
      </c>
      <c r="Q45" s="3">
        <v>0.95799999999999996</v>
      </c>
      <c r="R45" s="2" t="s">
        <v>24</v>
      </c>
    </row>
    <row r="46" spans="1:18" ht="14.4">
      <c r="A46" s="1">
        <v>46121</v>
      </c>
      <c r="B46" s="2" t="s">
        <v>75</v>
      </c>
      <c r="C46" s="2" t="s">
        <v>51</v>
      </c>
      <c r="D46" s="2" t="s">
        <v>52</v>
      </c>
      <c r="E46" s="2" t="s">
        <v>49</v>
      </c>
      <c r="F46" s="2" t="s">
        <v>32</v>
      </c>
      <c r="G46" s="2">
        <v>20</v>
      </c>
      <c r="H46" s="2" t="s">
        <v>46</v>
      </c>
      <c r="I46" s="2">
        <v>12</v>
      </c>
      <c r="J46" s="2">
        <v>10</v>
      </c>
      <c r="K46" s="2">
        <v>2</v>
      </c>
      <c r="L46" s="2">
        <v>8</v>
      </c>
      <c r="M46" s="2">
        <v>6.1</v>
      </c>
      <c r="N46" s="2">
        <v>0</v>
      </c>
      <c r="O46" s="3">
        <v>0.89400000000000002</v>
      </c>
      <c r="P46" s="3">
        <v>0.96699999999999997</v>
      </c>
      <c r="Q46" s="3">
        <v>0.92300000000000004</v>
      </c>
      <c r="R46" s="2" t="s">
        <v>24</v>
      </c>
    </row>
    <row r="47" spans="1:18" ht="14.4">
      <c r="A47" s="1">
        <v>46123</v>
      </c>
      <c r="B47" s="2" t="s">
        <v>75</v>
      </c>
      <c r="C47" s="2" t="s">
        <v>72</v>
      </c>
      <c r="D47" s="2" t="s">
        <v>73</v>
      </c>
      <c r="E47" s="2" t="s">
        <v>55</v>
      </c>
      <c r="F47" s="2" t="s">
        <v>27</v>
      </c>
      <c r="G47" s="2">
        <v>21</v>
      </c>
      <c r="H47" s="2" t="s">
        <v>23</v>
      </c>
      <c r="I47" s="2">
        <v>10</v>
      </c>
      <c r="J47" s="2">
        <v>10</v>
      </c>
      <c r="K47" s="2">
        <v>0</v>
      </c>
      <c r="L47" s="2">
        <v>9</v>
      </c>
      <c r="M47" s="2">
        <v>9.4</v>
      </c>
      <c r="N47" s="2">
        <v>0.4</v>
      </c>
      <c r="O47" s="3">
        <v>1</v>
      </c>
      <c r="P47" s="3">
        <v>1</v>
      </c>
      <c r="Q47" s="3">
        <v>1</v>
      </c>
      <c r="R47" s="2" t="s">
        <v>24</v>
      </c>
    </row>
    <row r="48" spans="1:18" ht="14.4">
      <c r="A48" s="1">
        <v>46125</v>
      </c>
      <c r="B48" s="2" t="s">
        <v>75</v>
      </c>
      <c r="C48" s="2" t="s">
        <v>53</v>
      </c>
      <c r="D48" s="2" t="s">
        <v>54</v>
      </c>
      <c r="E48" s="2" t="s">
        <v>55</v>
      </c>
      <c r="F48" s="2" t="s">
        <v>22</v>
      </c>
      <c r="G48" s="2">
        <v>22</v>
      </c>
      <c r="H48" s="2" t="s">
        <v>46</v>
      </c>
      <c r="I48" s="2">
        <v>8</v>
      </c>
      <c r="J48" s="2">
        <v>10</v>
      </c>
      <c r="K48" s="2">
        <v>0</v>
      </c>
      <c r="L48" s="2">
        <v>9</v>
      </c>
      <c r="M48" s="2">
        <v>8.6</v>
      </c>
      <c r="N48" s="2">
        <v>0</v>
      </c>
      <c r="O48" s="3">
        <v>1</v>
      </c>
      <c r="P48" s="3">
        <v>1</v>
      </c>
      <c r="Q48" s="3">
        <v>1</v>
      </c>
      <c r="R48" s="2" t="s">
        <v>24</v>
      </c>
    </row>
    <row r="49" spans="1:18" ht="14.4">
      <c r="A49" s="1">
        <v>46127</v>
      </c>
      <c r="B49" s="2" t="s">
        <v>75</v>
      </c>
      <c r="C49" s="2" t="s">
        <v>56</v>
      </c>
      <c r="D49" s="2" t="s">
        <v>57</v>
      </c>
      <c r="E49" s="2" t="s">
        <v>21</v>
      </c>
      <c r="F49" s="2" t="s">
        <v>38</v>
      </c>
      <c r="G49" s="2">
        <v>20</v>
      </c>
      <c r="H49" s="2" t="s">
        <v>23</v>
      </c>
      <c r="I49" s="2">
        <v>9</v>
      </c>
      <c r="J49" s="2">
        <v>6</v>
      </c>
      <c r="K49" s="2">
        <v>70</v>
      </c>
      <c r="L49" s="2">
        <v>9</v>
      </c>
      <c r="M49" s="2">
        <v>8.3000000000000007</v>
      </c>
      <c r="N49" s="2">
        <v>0</v>
      </c>
      <c r="O49" s="3">
        <v>0.67500000000000004</v>
      </c>
      <c r="P49" s="3">
        <v>0.61499999999999999</v>
      </c>
      <c r="Q49" s="3">
        <v>0.65100000000000002</v>
      </c>
      <c r="R49" s="2" t="s">
        <v>74</v>
      </c>
    </row>
    <row r="50" spans="1:18" ht="14.4">
      <c r="A50" s="1">
        <v>46131</v>
      </c>
      <c r="B50" s="2" t="s">
        <v>75</v>
      </c>
      <c r="C50" s="2" t="s">
        <v>60</v>
      </c>
      <c r="D50" s="2" t="s">
        <v>61</v>
      </c>
      <c r="E50" s="2" t="s">
        <v>37</v>
      </c>
      <c r="F50" s="2" t="s">
        <v>32</v>
      </c>
      <c r="G50" s="2">
        <v>22</v>
      </c>
      <c r="H50" s="2" t="s">
        <v>23</v>
      </c>
      <c r="I50" s="2">
        <v>12</v>
      </c>
      <c r="J50" s="2">
        <v>15</v>
      </c>
      <c r="K50" s="2">
        <v>0</v>
      </c>
      <c r="L50" s="2">
        <v>7</v>
      </c>
      <c r="M50" s="2">
        <v>8.1</v>
      </c>
      <c r="N50" s="2">
        <v>1.1000000000000001</v>
      </c>
      <c r="O50" s="3">
        <v>1</v>
      </c>
      <c r="P50" s="3">
        <v>0.97299999999999998</v>
      </c>
      <c r="Q50" s="3">
        <v>0.98899999999999999</v>
      </c>
      <c r="R50" s="2" t="s">
        <v>24</v>
      </c>
    </row>
    <row r="51" spans="1:18" ht="14.4">
      <c r="A51" s="1">
        <v>46133</v>
      </c>
      <c r="B51" s="2" t="s">
        <v>75</v>
      </c>
      <c r="C51" s="2" t="s">
        <v>62</v>
      </c>
      <c r="D51" s="2" t="s">
        <v>63</v>
      </c>
      <c r="E51" s="2" t="s">
        <v>43</v>
      </c>
      <c r="F51" s="2" t="s">
        <v>38</v>
      </c>
      <c r="G51" s="2">
        <v>21</v>
      </c>
      <c r="H51" s="2" t="s">
        <v>23</v>
      </c>
      <c r="I51" s="2">
        <v>8</v>
      </c>
      <c r="J51" s="2">
        <v>7</v>
      </c>
      <c r="K51" s="2">
        <v>1</v>
      </c>
      <c r="L51" s="2">
        <v>7</v>
      </c>
      <c r="M51" s="2">
        <v>8</v>
      </c>
      <c r="N51" s="2">
        <v>1</v>
      </c>
      <c r="O51" s="3">
        <v>0.89700000000000002</v>
      </c>
      <c r="P51" s="3">
        <v>0.83499999999999996</v>
      </c>
      <c r="Q51" s="3">
        <v>0.872</v>
      </c>
      <c r="R51" s="2" t="s">
        <v>50</v>
      </c>
    </row>
    <row r="52" spans="1:18" ht="14.4">
      <c r="A52" s="1">
        <v>46135</v>
      </c>
      <c r="B52" s="2" t="s">
        <v>75</v>
      </c>
      <c r="C52" s="2" t="s">
        <v>65</v>
      </c>
      <c r="D52" s="2" t="s">
        <v>66</v>
      </c>
      <c r="E52" s="2" t="s">
        <v>49</v>
      </c>
      <c r="F52" s="2" t="s">
        <v>22</v>
      </c>
      <c r="G52" s="2">
        <v>22</v>
      </c>
      <c r="H52" s="2" t="s">
        <v>23</v>
      </c>
      <c r="I52" s="2">
        <v>16</v>
      </c>
      <c r="J52" s="2">
        <v>18</v>
      </c>
      <c r="K52" s="2">
        <v>0</v>
      </c>
      <c r="L52" s="2">
        <v>8</v>
      </c>
      <c r="M52" s="2">
        <v>7.1</v>
      </c>
      <c r="N52" s="2">
        <v>0</v>
      </c>
      <c r="O52" s="3">
        <v>1</v>
      </c>
      <c r="P52" s="3">
        <v>0.90500000000000003</v>
      </c>
      <c r="Q52" s="3">
        <v>0.96199999999999997</v>
      </c>
      <c r="R52" s="2" t="s">
        <v>24</v>
      </c>
    </row>
    <row r="53" spans="1:18" ht="14.4">
      <c r="A53" s="1">
        <v>46137</v>
      </c>
      <c r="B53" s="2" t="s">
        <v>75</v>
      </c>
      <c r="C53" s="2" t="s">
        <v>67</v>
      </c>
      <c r="D53" s="2" t="s">
        <v>68</v>
      </c>
      <c r="E53" s="2" t="s">
        <v>55</v>
      </c>
      <c r="F53" s="2" t="s">
        <v>32</v>
      </c>
      <c r="G53" s="2">
        <v>22</v>
      </c>
      <c r="H53" s="2" t="s">
        <v>23</v>
      </c>
      <c r="I53" s="2">
        <v>16</v>
      </c>
      <c r="J53" s="2">
        <v>13</v>
      </c>
      <c r="K53" s="2">
        <v>3</v>
      </c>
      <c r="L53" s="2">
        <v>8</v>
      </c>
      <c r="M53" s="2">
        <v>7.7</v>
      </c>
      <c r="N53" s="2">
        <v>0</v>
      </c>
      <c r="O53" s="3">
        <v>0.82599999999999996</v>
      </c>
      <c r="P53" s="3">
        <v>0.73899999999999999</v>
      </c>
      <c r="Q53" s="3">
        <v>0.79100000000000004</v>
      </c>
      <c r="R53" s="2" t="s">
        <v>50</v>
      </c>
    </row>
    <row r="54" spans="1:18" ht="14.4">
      <c r="A54" s="1">
        <v>46139</v>
      </c>
      <c r="B54" s="2" t="s">
        <v>75</v>
      </c>
      <c r="C54" s="2" t="s">
        <v>76</v>
      </c>
      <c r="D54" s="2" t="s">
        <v>77</v>
      </c>
      <c r="E54" s="2" t="s">
        <v>21</v>
      </c>
      <c r="F54" s="2" t="s">
        <v>27</v>
      </c>
      <c r="G54" s="2">
        <v>20</v>
      </c>
      <c r="H54" s="2" t="s">
        <v>23</v>
      </c>
      <c r="I54" s="2">
        <v>12</v>
      </c>
      <c r="J54" s="2">
        <v>11</v>
      </c>
      <c r="K54" s="2">
        <v>1</v>
      </c>
      <c r="L54" s="2">
        <v>7</v>
      </c>
      <c r="M54" s="2">
        <v>7.4</v>
      </c>
      <c r="N54" s="2">
        <v>0.4</v>
      </c>
      <c r="O54" s="3">
        <v>0.98</v>
      </c>
      <c r="P54" s="3">
        <v>0.90600000000000003</v>
      </c>
      <c r="Q54" s="3">
        <v>0.95</v>
      </c>
      <c r="R54" s="2" t="s">
        <v>24</v>
      </c>
    </row>
    <row r="55" spans="1:18" ht="14.4">
      <c r="A55" s="1">
        <v>46141</v>
      </c>
      <c r="B55" s="2" t="s">
        <v>75</v>
      </c>
      <c r="C55" s="2" t="s">
        <v>69</v>
      </c>
      <c r="D55" s="2" t="s">
        <v>70</v>
      </c>
      <c r="E55" s="2" t="s">
        <v>31</v>
      </c>
      <c r="F55" s="2" t="s">
        <v>38</v>
      </c>
      <c r="G55" s="2">
        <v>20</v>
      </c>
      <c r="H55" s="2" t="s">
        <v>28</v>
      </c>
      <c r="I55" s="2">
        <v>9</v>
      </c>
      <c r="J55" s="2">
        <v>8</v>
      </c>
      <c r="K55" s="2">
        <v>1</v>
      </c>
      <c r="L55" s="2">
        <v>9</v>
      </c>
      <c r="M55" s="2">
        <v>10.1</v>
      </c>
      <c r="N55" s="2">
        <v>1.1000000000000001</v>
      </c>
      <c r="O55" s="3">
        <v>0.95</v>
      </c>
      <c r="P55" s="3">
        <v>0.91900000000000004</v>
      </c>
      <c r="Q55" s="3">
        <v>0.93799999999999994</v>
      </c>
      <c r="R55" s="2" t="s">
        <v>24</v>
      </c>
    </row>
    <row r="56" spans="1:18" ht="14.4">
      <c r="A56" s="1">
        <v>46143</v>
      </c>
      <c r="B56" s="2" t="s">
        <v>78</v>
      </c>
      <c r="C56" s="2" t="s">
        <v>19</v>
      </c>
      <c r="D56" s="2" t="s">
        <v>20</v>
      </c>
      <c r="E56" s="2" t="s">
        <v>21</v>
      </c>
      <c r="F56" s="2" t="s">
        <v>22</v>
      </c>
      <c r="G56" s="2">
        <v>22</v>
      </c>
      <c r="H56" s="2" t="s">
        <v>28</v>
      </c>
      <c r="I56" s="2">
        <v>10</v>
      </c>
      <c r="J56" s="2">
        <v>8</v>
      </c>
      <c r="K56" s="2">
        <v>2</v>
      </c>
      <c r="L56" s="2">
        <v>7</v>
      </c>
      <c r="M56" s="2">
        <v>6.5</v>
      </c>
      <c r="N56" s="2">
        <v>0</v>
      </c>
      <c r="O56" s="3">
        <v>0.876</v>
      </c>
      <c r="P56" s="3">
        <v>0.93400000000000005</v>
      </c>
      <c r="Q56" s="3">
        <v>0.89900000000000002</v>
      </c>
      <c r="R56" s="2" t="s">
        <v>50</v>
      </c>
    </row>
    <row r="57" spans="1:18" ht="14.4">
      <c r="A57" s="1">
        <v>46145</v>
      </c>
      <c r="B57" s="2" t="s">
        <v>78</v>
      </c>
      <c r="C57" s="2" t="s">
        <v>25</v>
      </c>
      <c r="D57" s="2" t="s">
        <v>26</v>
      </c>
      <c r="E57" s="2" t="s">
        <v>21</v>
      </c>
      <c r="F57" s="2" t="s">
        <v>27</v>
      </c>
      <c r="G57" s="2">
        <v>21</v>
      </c>
      <c r="H57" s="2" t="s">
        <v>23</v>
      </c>
      <c r="I57" s="2">
        <v>10</v>
      </c>
      <c r="J57" s="2">
        <v>12</v>
      </c>
      <c r="K57" s="2">
        <v>0</v>
      </c>
      <c r="L57" s="2">
        <v>8</v>
      </c>
      <c r="M57" s="2">
        <v>7.8</v>
      </c>
      <c r="N57" s="2">
        <v>0</v>
      </c>
      <c r="O57" s="3">
        <v>1</v>
      </c>
      <c r="P57" s="3">
        <v>0.97099999999999997</v>
      </c>
      <c r="Q57" s="3">
        <v>0.98799999999999999</v>
      </c>
      <c r="R57" s="2" t="s">
        <v>24</v>
      </c>
    </row>
    <row r="58" spans="1:18" ht="14.4">
      <c r="A58" s="1">
        <v>46149</v>
      </c>
      <c r="B58" s="2" t="s">
        <v>78</v>
      </c>
      <c r="C58" s="2" t="s">
        <v>33</v>
      </c>
      <c r="D58" s="2" t="s">
        <v>34</v>
      </c>
      <c r="E58" s="2" t="s">
        <v>31</v>
      </c>
      <c r="F58" s="2" t="s">
        <v>22</v>
      </c>
      <c r="G58" s="2">
        <v>21</v>
      </c>
      <c r="H58" s="2" t="s">
        <v>23</v>
      </c>
      <c r="I58" s="2">
        <v>15</v>
      </c>
      <c r="J58" s="2">
        <v>13</v>
      </c>
      <c r="K58" s="2">
        <v>2</v>
      </c>
      <c r="L58" s="2">
        <v>7</v>
      </c>
      <c r="M58" s="2">
        <v>5.7</v>
      </c>
      <c r="N58" s="2">
        <v>0</v>
      </c>
      <c r="O58" s="3">
        <v>0.91700000000000004</v>
      </c>
      <c r="P58" s="3">
        <v>0.89800000000000002</v>
      </c>
      <c r="Q58" s="3">
        <v>0.90900000000000003</v>
      </c>
      <c r="R58" s="2" t="s">
        <v>24</v>
      </c>
    </row>
    <row r="59" spans="1:18" ht="14.4">
      <c r="A59" s="1">
        <v>46151</v>
      </c>
      <c r="B59" s="2" t="s">
        <v>78</v>
      </c>
      <c r="C59" s="2" t="s">
        <v>35</v>
      </c>
      <c r="D59" s="2" t="s">
        <v>36</v>
      </c>
      <c r="E59" s="2" t="s">
        <v>37</v>
      </c>
      <c r="F59" s="2" t="s">
        <v>38</v>
      </c>
      <c r="G59" s="2">
        <v>21</v>
      </c>
      <c r="H59" s="2" t="s">
        <v>23</v>
      </c>
      <c r="I59" s="2">
        <v>11</v>
      </c>
      <c r="J59" s="2">
        <v>8</v>
      </c>
      <c r="K59" s="2">
        <v>3</v>
      </c>
      <c r="L59" s="2">
        <v>9</v>
      </c>
      <c r="M59" s="2">
        <v>9.9</v>
      </c>
      <c r="N59" s="2">
        <v>0.9</v>
      </c>
      <c r="O59" s="3">
        <v>0.67800000000000005</v>
      </c>
      <c r="P59" s="3">
        <v>0.63</v>
      </c>
      <c r="Q59" s="3">
        <v>0.65900000000000003</v>
      </c>
      <c r="R59" s="2" t="s">
        <v>74</v>
      </c>
    </row>
    <row r="60" spans="1:18" ht="14.4">
      <c r="A60" s="1">
        <v>46153</v>
      </c>
      <c r="B60" s="2" t="s">
        <v>78</v>
      </c>
      <c r="C60" s="2" t="s">
        <v>39</v>
      </c>
      <c r="D60" s="2" t="s">
        <v>40</v>
      </c>
      <c r="E60" s="2" t="s">
        <v>37</v>
      </c>
      <c r="F60" s="2" t="s">
        <v>27</v>
      </c>
      <c r="G60" s="2">
        <v>20</v>
      </c>
      <c r="H60" s="2" t="s">
        <v>23</v>
      </c>
      <c r="I60" s="2">
        <v>13</v>
      </c>
      <c r="J60" s="2">
        <v>15</v>
      </c>
      <c r="K60" s="2">
        <v>0</v>
      </c>
      <c r="L60" s="2">
        <v>9</v>
      </c>
      <c r="M60" s="2">
        <v>10.5</v>
      </c>
      <c r="N60" s="2">
        <v>1.5</v>
      </c>
      <c r="O60" s="3">
        <v>1</v>
      </c>
      <c r="P60" s="3">
        <v>1</v>
      </c>
      <c r="Q60" s="3">
        <v>1</v>
      </c>
      <c r="R60" s="2" t="s">
        <v>24</v>
      </c>
    </row>
    <row r="61" spans="1:18" ht="14.4">
      <c r="A61" s="1">
        <v>46155</v>
      </c>
      <c r="B61" s="2" t="s">
        <v>78</v>
      </c>
      <c r="C61" s="2" t="s">
        <v>41</v>
      </c>
      <c r="D61" s="2" t="s">
        <v>42</v>
      </c>
      <c r="E61" s="2" t="s">
        <v>43</v>
      </c>
      <c r="F61" s="2" t="s">
        <v>32</v>
      </c>
      <c r="G61" s="2">
        <v>22</v>
      </c>
      <c r="H61" s="2" t="s">
        <v>23</v>
      </c>
      <c r="I61" s="2">
        <v>8</v>
      </c>
      <c r="J61" s="2">
        <v>5</v>
      </c>
      <c r="K61" s="2">
        <v>50</v>
      </c>
      <c r="L61" s="2">
        <v>8</v>
      </c>
      <c r="M61" s="2">
        <v>7.9</v>
      </c>
      <c r="N61" s="2">
        <v>0</v>
      </c>
      <c r="O61" s="3">
        <v>0.57399999999999995</v>
      </c>
      <c r="P61" s="3">
        <v>0.66600000000000004</v>
      </c>
      <c r="Q61" s="3">
        <v>0.61099999999999999</v>
      </c>
      <c r="R61" s="2" t="s">
        <v>74</v>
      </c>
    </row>
    <row r="62" spans="1:18" ht="14.4">
      <c r="A62" s="1">
        <v>46157</v>
      </c>
      <c r="B62" s="2" t="s">
        <v>78</v>
      </c>
      <c r="C62" s="2" t="s">
        <v>44</v>
      </c>
      <c r="D62" s="2" t="s">
        <v>45</v>
      </c>
      <c r="E62" s="2" t="s">
        <v>43</v>
      </c>
      <c r="F62" s="2" t="s">
        <v>22</v>
      </c>
      <c r="G62" s="2">
        <v>21</v>
      </c>
      <c r="H62" s="2" t="s">
        <v>23</v>
      </c>
      <c r="I62" s="2">
        <v>9</v>
      </c>
      <c r="J62" s="2">
        <v>10</v>
      </c>
      <c r="K62" s="2">
        <v>0</v>
      </c>
      <c r="L62" s="2">
        <v>8</v>
      </c>
      <c r="M62" s="2">
        <v>9.1</v>
      </c>
      <c r="N62" s="2">
        <v>1.1000000000000001</v>
      </c>
      <c r="O62" s="3">
        <v>1</v>
      </c>
      <c r="P62" s="3">
        <v>1</v>
      </c>
      <c r="Q62" s="3">
        <v>1</v>
      </c>
      <c r="R62" s="2" t="s">
        <v>24</v>
      </c>
    </row>
    <row r="63" spans="1:18" ht="14.4">
      <c r="A63" s="1">
        <v>46159</v>
      </c>
      <c r="B63" s="2" t="s">
        <v>78</v>
      </c>
      <c r="C63" s="2" t="s">
        <v>47</v>
      </c>
      <c r="D63" s="2" t="s">
        <v>48</v>
      </c>
      <c r="E63" s="2" t="s">
        <v>49</v>
      </c>
      <c r="F63" s="2" t="s">
        <v>38</v>
      </c>
      <c r="G63" s="2">
        <v>21</v>
      </c>
      <c r="H63" s="2" t="s">
        <v>46</v>
      </c>
      <c r="I63" s="2">
        <v>16</v>
      </c>
      <c r="J63" s="2">
        <v>13</v>
      </c>
      <c r="K63" s="2">
        <v>3</v>
      </c>
      <c r="L63" s="2">
        <v>8</v>
      </c>
      <c r="M63" s="2">
        <v>8.4</v>
      </c>
      <c r="N63" s="2">
        <v>0.4</v>
      </c>
      <c r="O63" s="3">
        <v>0.876</v>
      </c>
      <c r="P63" s="3">
        <v>0.79800000000000004</v>
      </c>
      <c r="Q63" s="3">
        <v>0.84499999999999997</v>
      </c>
      <c r="R63" s="2" t="s">
        <v>50</v>
      </c>
    </row>
    <row r="64" spans="1:18" ht="14.4">
      <c r="A64" s="1">
        <v>46163</v>
      </c>
      <c r="B64" s="2" t="s">
        <v>78</v>
      </c>
      <c r="C64" s="2" t="s">
        <v>72</v>
      </c>
      <c r="D64" s="2" t="s">
        <v>73</v>
      </c>
      <c r="E64" s="2" t="s">
        <v>55</v>
      </c>
      <c r="F64" s="2" t="s">
        <v>27</v>
      </c>
      <c r="G64" s="2">
        <v>22</v>
      </c>
      <c r="H64" s="2" t="s">
        <v>28</v>
      </c>
      <c r="I64" s="2">
        <v>19</v>
      </c>
      <c r="J64" s="2">
        <v>21</v>
      </c>
      <c r="K64" s="2">
        <v>0</v>
      </c>
      <c r="L64" s="2">
        <v>7</v>
      </c>
      <c r="M64" s="2">
        <v>7.4</v>
      </c>
      <c r="N64" s="2">
        <v>0.4</v>
      </c>
      <c r="O64" s="3">
        <v>1</v>
      </c>
      <c r="P64" s="3">
        <v>0.89500000000000002</v>
      </c>
      <c r="Q64" s="3">
        <v>0.95799999999999996</v>
      </c>
      <c r="R64" s="2" t="s">
        <v>24</v>
      </c>
    </row>
    <row r="65" spans="1:18" ht="14.4">
      <c r="A65" s="1">
        <v>46165</v>
      </c>
      <c r="B65" s="2" t="s">
        <v>78</v>
      </c>
      <c r="C65" s="2" t="s">
        <v>53</v>
      </c>
      <c r="D65" s="2" t="s">
        <v>54</v>
      </c>
      <c r="E65" s="2" t="s">
        <v>55</v>
      </c>
      <c r="F65" s="2" t="s">
        <v>22</v>
      </c>
      <c r="G65" s="2">
        <v>22</v>
      </c>
      <c r="H65" s="2" t="s">
        <v>23</v>
      </c>
      <c r="I65" s="2">
        <v>17</v>
      </c>
      <c r="J65" s="2">
        <v>16</v>
      </c>
      <c r="K65" s="2">
        <v>1</v>
      </c>
      <c r="L65" s="2">
        <v>9</v>
      </c>
      <c r="M65" s="2">
        <v>10.7</v>
      </c>
      <c r="N65" s="2">
        <v>1.7</v>
      </c>
      <c r="O65" s="3">
        <v>0.997</v>
      </c>
      <c r="P65" s="3">
        <v>1</v>
      </c>
      <c r="Q65" s="3">
        <v>0.998</v>
      </c>
      <c r="R65" s="2" t="s">
        <v>24</v>
      </c>
    </row>
    <row r="66" spans="1:18" ht="14.4">
      <c r="A66" s="1">
        <v>46167</v>
      </c>
      <c r="B66" s="2" t="s">
        <v>78</v>
      </c>
      <c r="C66" s="2" t="s">
        <v>56</v>
      </c>
      <c r="D66" s="2" t="s">
        <v>57</v>
      </c>
      <c r="E66" s="2" t="s">
        <v>21</v>
      </c>
      <c r="F66" s="2" t="s">
        <v>38</v>
      </c>
      <c r="G66" s="2">
        <v>21</v>
      </c>
      <c r="H66" s="2" t="s">
        <v>46</v>
      </c>
      <c r="I66" s="2">
        <v>12</v>
      </c>
      <c r="J66" s="2">
        <v>14</v>
      </c>
      <c r="K66" s="2">
        <v>0</v>
      </c>
      <c r="L66" s="2">
        <v>8</v>
      </c>
      <c r="M66" s="2">
        <v>8</v>
      </c>
      <c r="N66" s="2">
        <v>0</v>
      </c>
      <c r="O66" s="3">
        <v>1</v>
      </c>
      <c r="P66" s="3">
        <v>1</v>
      </c>
      <c r="Q66" s="3">
        <v>1</v>
      </c>
      <c r="R66" s="2" t="s">
        <v>24</v>
      </c>
    </row>
    <row r="67" spans="1:18" ht="14.4">
      <c r="A67" s="1">
        <v>46169</v>
      </c>
      <c r="B67" s="2" t="s">
        <v>78</v>
      </c>
      <c r="C67" s="2" t="s">
        <v>58</v>
      </c>
      <c r="D67" s="2" t="s">
        <v>59</v>
      </c>
      <c r="E67" s="2" t="s">
        <v>31</v>
      </c>
      <c r="F67" s="2" t="s">
        <v>27</v>
      </c>
      <c r="G67" s="2">
        <v>22</v>
      </c>
      <c r="H67" s="2" t="s">
        <v>23</v>
      </c>
      <c r="I67" s="2">
        <v>11</v>
      </c>
      <c r="J67" s="2">
        <v>11</v>
      </c>
      <c r="K67" s="2">
        <v>0</v>
      </c>
      <c r="L67" s="2">
        <v>9</v>
      </c>
      <c r="M67" s="2">
        <v>10.7</v>
      </c>
      <c r="N67" s="2">
        <v>1.7</v>
      </c>
      <c r="O67" s="3">
        <v>1</v>
      </c>
      <c r="P67" s="3">
        <v>1</v>
      </c>
      <c r="Q67" s="3">
        <v>1</v>
      </c>
      <c r="R67" s="2" t="s">
        <v>24</v>
      </c>
    </row>
    <row r="68" spans="1:18" ht="14.4">
      <c r="A68" s="1">
        <v>46171</v>
      </c>
      <c r="B68" s="2" t="s">
        <v>78</v>
      </c>
      <c r="C68" s="2" t="s">
        <v>60</v>
      </c>
      <c r="D68" s="2" t="s">
        <v>61</v>
      </c>
      <c r="E68" s="2" t="s">
        <v>37</v>
      </c>
      <c r="F68" s="2" t="s">
        <v>32</v>
      </c>
      <c r="G68" s="2">
        <v>20</v>
      </c>
      <c r="H68" s="2" t="s">
        <v>46</v>
      </c>
      <c r="I68" s="2">
        <v>17</v>
      </c>
      <c r="J68" s="2">
        <v>16</v>
      </c>
      <c r="K68" s="2">
        <v>1</v>
      </c>
      <c r="L68" s="2">
        <v>8</v>
      </c>
      <c r="M68" s="2">
        <v>5.0999999999999996</v>
      </c>
      <c r="N68" s="2">
        <v>0</v>
      </c>
      <c r="O68" s="3">
        <v>0.94899999999999995</v>
      </c>
      <c r="P68" s="3">
        <v>0.82899999999999996</v>
      </c>
      <c r="Q68" s="3">
        <v>0.90100000000000002</v>
      </c>
      <c r="R68" s="2" t="s">
        <v>24</v>
      </c>
    </row>
    <row r="69" spans="1:18" ht="14.4">
      <c r="A69" s="1">
        <v>46173</v>
      </c>
      <c r="B69" s="2" t="s">
        <v>78</v>
      </c>
      <c r="C69" s="2" t="s">
        <v>62</v>
      </c>
      <c r="D69" s="2" t="s">
        <v>63</v>
      </c>
      <c r="E69" s="2" t="s">
        <v>43</v>
      </c>
      <c r="F69" s="2" t="s">
        <v>38</v>
      </c>
      <c r="G69" s="2">
        <v>21</v>
      </c>
      <c r="H69" s="2" t="s">
        <v>23</v>
      </c>
      <c r="I69" s="2">
        <v>14</v>
      </c>
      <c r="J69" s="2">
        <v>17</v>
      </c>
      <c r="K69" s="2">
        <v>0</v>
      </c>
      <c r="L69" s="2">
        <v>9</v>
      </c>
      <c r="M69" s="2">
        <v>9.9</v>
      </c>
      <c r="N69" s="2">
        <v>0.9</v>
      </c>
      <c r="O69" s="3">
        <v>1</v>
      </c>
      <c r="P69" s="3">
        <v>0.95099999999999996</v>
      </c>
      <c r="Q69" s="3">
        <v>0.98</v>
      </c>
      <c r="R69" s="2" t="s">
        <v>24</v>
      </c>
    </row>
    <row r="70" spans="1:18" ht="14.4">
      <c r="A70" s="1">
        <v>46175</v>
      </c>
      <c r="B70" s="2" t="s">
        <v>79</v>
      </c>
      <c r="C70" s="2" t="s">
        <v>65</v>
      </c>
      <c r="D70" s="2" t="s">
        <v>66</v>
      </c>
      <c r="E70" s="2" t="s">
        <v>49</v>
      </c>
      <c r="F70" s="2" t="s">
        <v>22</v>
      </c>
      <c r="G70" s="2">
        <v>21</v>
      </c>
      <c r="H70" s="2" t="s">
        <v>23</v>
      </c>
      <c r="I70" s="2">
        <v>18</v>
      </c>
      <c r="J70" s="2">
        <v>16</v>
      </c>
      <c r="K70" s="2">
        <v>2</v>
      </c>
      <c r="L70" s="2">
        <v>9</v>
      </c>
      <c r="M70" s="2">
        <v>9.1</v>
      </c>
      <c r="N70" s="2">
        <v>0.1</v>
      </c>
      <c r="O70" s="3">
        <v>0.88500000000000001</v>
      </c>
      <c r="P70" s="3">
        <v>0.96299999999999997</v>
      </c>
      <c r="Q70" s="3">
        <v>0.91600000000000004</v>
      </c>
      <c r="R70" s="2" t="s">
        <v>24</v>
      </c>
    </row>
    <row r="71" spans="1:18" ht="14.4">
      <c r="A71" s="1">
        <v>46179</v>
      </c>
      <c r="B71" s="2" t="s">
        <v>79</v>
      </c>
      <c r="C71" s="2" t="s">
        <v>76</v>
      </c>
      <c r="D71" s="2" t="s">
        <v>77</v>
      </c>
      <c r="E71" s="2" t="s">
        <v>21</v>
      </c>
      <c r="F71" s="2" t="s">
        <v>27</v>
      </c>
      <c r="G71" s="2">
        <v>21</v>
      </c>
      <c r="H71" s="2" t="s">
        <v>23</v>
      </c>
      <c r="I71" s="2">
        <v>20</v>
      </c>
      <c r="J71" s="2">
        <v>18</v>
      </c>
      <c r="K71" s="2">
        <v>2</v>
      </c>
      <c r="L71" s="2">
        <v>9</v>
      </c>
      <c r="M71" s="2">
        <v>9.1</v>
      </c>
      <c r="N71" s="2">
        <v>0.1</v>
      </c>
      <c r="O71" s="3">
        <v>0.87</v>
      </c>
      <c r="P71" s="3">
        <v>0.92700000000000005</v>
      </c>
      <c r="Q71" s="3">
        <v>0.89300000000000002</v>
      </c>
      <c r="R71" s="2" t="s">
        <v>50</v>
      </c>
    </row>
    <row r="72" spans="1:18" ht="14.4">
      <c r="A72" s="1">
        <v>46181</v>
      </c>
      <c r="B72" s="2" t="s">
        <v>79</v>
      </c>
      <c r="C72" s="2" t="s">
        <v>69</v>
      </c>
      <c r="D72" s="2" t="s">
        <v>70</v>
      </c>
      <c r="E72" s="2" t="s">
        <v>31</v>
      </c>
      <c r="F72" s="2" t="s">
        <v>38</v>
      </c>
      <c r="G72" s="2">
        <v>20</v>
      </c>
      <c r="H72" s="2" t="s">
        <v>23</v>
      </c>
      <c r="I72" s="2">
        <v>8</v>
      </c>
      <c r="J72" s="2">
        <v>6</v>
      </c>
      <c r="K72" s="2">
        <v>2</v>
      </c>
      <c r="L72" s="2">
        <v>8</v>
      </c>
      <c r="M72" s="2">
        <v>5.8</v>
      </c>
      <c r="N72" s="2">
        <v>0</v>
      </c>
      <c r="O72" s="3">
        <v>0.76800000000000002</v>
      </c>
      <c r="P72" s="3">
        <v>0.81699999999999995</v>
      </c>
      <c r="Q72" s="3">
        <v>0.78800000000000003</v>
      </c>
      <c r="R72" s="2" t="s">
        <v>50</v>
      </c>
    </row>
    <row r="73" spans="1:18" ht="14.4">
      <c r="A73" s="1">
        <v>46183</v>
      </c>
      <c r="B73" s="2" t="s">
        <v>79</v>
      </c>
      <c r="C73" s="2" t="s">
        <v>19</v>
      </c>
      <c r="D73" s="2" t="s">
        <v>20</v>
      </c>
      <c r="E73" s="2" t="s">
        <v>21</v>
      </c>
      <c r="F73" s="2" t="s">
        <v>22</v>
      </c>
      <c r="G73" s="2">
        <v>21</v>
      </c>
      <c r="H73" s="2" t="s">
        <v>23</v>
      </c>
      <c r="I73" s="2">
        <v>18</v>
      </c>
      <c r="J73" s="2">
        <v>19</v>
      </c>
      <c r="K73" s="2">
        <v>50</v>
      </c>
      <c r="L73" s="2">
        <v>7</v>
      </c>
      <c r="M73" s="2">
        <v>6.8</v>
      </c>
      <c r="N73" s="2">
        <v>0</v>
      </c>
      <c r="O73" s="3">
        <v>1</v>
      </c>
      <c r="P73" s="3">
        <v>0.96399999999999997</v>
      </c>
      <c r="Q73" s="3">
        <v>0.98599999999999999</v>
      </c>
      <c r="R73" s="2" t="s">
        <v>24</v>
      </c>
    </row>
    <row r="74" spans="1:18" ht="14.4">
      <c r="A74" s="1">
        <v>46185</v>
      </c>
      <c r="B74" s="2" t="s">
        <v>79</v>
      </c>
      <c r="C74" s="2" t="s">
        <v>25</v>
      </c>
      <c r="D74" s="2" t="s">
        <v>26</v>
      </c>
      <c r="E74" s="2" t="s">
        <v>21</v>
      </c>
      <c r="F74" s="2" t="s">
        <v>27</v>
      </c>
      <c r="G74" s="2">
        <v>21</v>
      </c>
      <c r="H74" s="2" t="s">
        <v>23</v>
      </c>
      <c r="I74" s="2">
        <v>10</v>
      </c>
      <c r="J74" s="2">
        <v>12</v>
      </c>
      <c r="K74" s="2">
        <v>0</v>
      </c>
      <c r="L74" s="2">
        <v>9</v>
      </c>
      <c r="M74" s="2">
        <v>9.4</v>
      </c>
      <c r="N74" s="2">
        <v>0.4</v>
      </c>
      <c r="O74" s="3">
        <v>1</v>
      </c>
      <c r="P74" s="3">
        <v>1</v>
      </c>
      <c r="Q74" s="3">
        <v>1</v>
      </c>
      <c r="R74" s="2" t="s">
        <v>24</v>
      </c>
    </row>
    <row r="75" spans="1:18" ht="14.4">
      <c r="A75" s="1">
        <v>46187</v>
      </c>
      <c r="B75" s="2" t="s">
        <v>79</v>
      </c>
      <c r="C75" s="2" t="s">
        <v>29</v>
      </c>
      <c r="D75" s="2" t="s">
        <v>30</v>
      </c>
      <c r="E75" s="2" t="s">
        <v>31</v>
      </c>
      <c r="F75" s="2" t="s">
        <v>32</v>
      </c>
      <c r="G75" s="2">
        <v>20</v>
      </c>
      <c r="H75" s="2" t="s">
        <v>23</v>
      </c>
      <c r="I75" s="2">
        <v>11</v>
      </c>
      <c r="J75" s="2">
        <v>9</v>
      </c>
      <c r="K75" s="2">
        <v>2</v>
      </c>
      <c r="L75" s="2">
        <v>9</v>
      </c>
      <c r="M75" s="2">
        <v>10.6</v>
      </c>
      <c r="N75" s="2">
        <v>1.6</v>
      </c>
      <c r="O75" s="3">
        <v>0.82099999999999995</v>
      </c>
      <c r="P75" s="3">
        <v>0.71199999999999997</v>
      </c>
      <c r="Q75" s="3">
        <v>0.77700000000000002</v>
      </c>
      <c r="R75" s="2" t="s">
        <v>50</v>
      </c>
    </row>
    <row r="76" spans="1:18" ht="14.4">
      <c r="A76" s="1">
        <v>46189</v>
      </c>
      <c r="B76" s="2" t="s">
        <v>79</v>
      </c>
      <c r="C76" s="2" t="s">
        <v>33</v>
      </c>
      <c r="D76" s="2" t="s">
        <v>34</v>
      </c>
      <c r="E76" s="2" t="s">
        <v>31</v>
      </c>
      <c r="F76" s="2" t="s">
        <v>22</v>
      </c>
      <c r="G76" s="2">
        <v>20</v>
      </c>
      <c r="H76" s="2" t="s">
        <v>23</v>
      </c>
      <c r="I76" s="2">
        <v>15</v>
      </c>
      <c r="J76" s="2">
        <v>13</v>
      </c>
      <c r="K76" s="2">
        <v>2</v>
      </c>
      <c r="L76" s="2">
        <v>8</v>
      </c>
      <c r="M76" s="2">
        <v>7.4</v>
      </c>
      <c r="N76" s="2">
        <v>0</v>
      </c>
      <c r="O76" s="3">
        <v>0.89300000000000002</v>
      </c>
      <c r="P76" s="3">
        <v>0.99</v>
      </c>
      <c r="Q76" s="3">
        <v>0.93200000000000005</v>
      </c>
      <c r="R76" s="2" t="s">
        <v>24</v>
      </c>
    </row>
    <row r="77" spans="1:18" ht="14.4">
      <c r="A77" s="1">
        <v>46193</v>
      </c>
      <c r="B77" s="2" t="s">
        <v>79</v>
      </c>
      <c r="C77" s="2" t="s">
        <v>39</v>
      </c>
      <c r="D77" s="2" t="s">
        <v>40</v>
      </c>
      <c r="E77" s="2" t="s">
        <v>37</v>
      </c>
      <c r="F77" s="2" t="s">
        <v>27</v>
      </c>
      <c r="G77" s="2">
        <v>21</v>
      </c>
      <c r="H77" s="2" t="s">
        <v>46</v>
      </c>
      <c r="I77" s="2">
        <v>15</v>
      </c>
      <c r="J77" s="2">
        <v>13</v>
      </c>
      <c r="K77" s="2">
        <v>2</v>
      </c>
      <c r="L77" s="2">
        <v>9</v>
      </c>
      <c r="M77" s="2">
        <v>8.4</v>
      </c>
      <c r="N77" s="2">
        <v>0</v>
      </c>
      <c r="O77" s="3">
        <v>0.92500000000000004</v>
      </c>
      <c r="P77" s="3">
        <v>0.90400000000000003</v>
      </c>
      <c r="Q77" s="3">
        <v>0.91700000000000004</v>
      </c>
      <c r="R77" s="2" t="s">
        <v>24</v>
      </c>
    </row>
    <row r="78" spans="1:18" ht="14.4">
      <c r="A78" s="1">
        <v>46195</v>
      </c>
      <c r="B78" s="2" t="s">
        <v>79</v>
      </c>
      <c r="C78" s="2" t="s">
        <v>41</v>
      </c>
      <c r="D78" s="2" t="s">
        <v>42</v>
      </c>
      <c r="E78" s="2" t="s">
        <v>43</v>
      </c>
      <c r="F78" s="2" t="s">
        <v>32</v>
      </c>
      <c r="G78" s="2">
        <v>20</v>
      </c>
      <c r="H78" s="2" t="s">
        <v>28</v>
      </c>
      <c r="I78" s="2">
        <v>12</v>
      </c>
      <c r="J78" s="2">
        <v>15</v>
      </c>
      <c r="K78" s="2">
        <v>0</v>
      </c>
      <c r="L78" s="2">
        <v>9</v>
      </c>
      <c r="M78" s="2">
        <v>10</v>
      </c>
      <c r="N78" s="2">
        <v>1</v>
      </c>
      <c r="O78" s="3">
        <v>1</v>
      </c>
      <c r="P78" s="3">
        <v>0.93300000000000005</v>
      </c>
      <c r="Q78" s="3">
        <v>0.97299999999999998</v>
      </c>
      <c r="R78" s="2" t="s">
        <v>24</v>
      </c>
    </row>
    <row r="79" spans="1:18" ht="14.4">
      <c r="A79" s="1">
        <v>46197</v>
      </c>
      <c r="B79" s="2" t="s">
        <v>79</v>
      </c>
      <c r="C79" s="2" t="s">
        <v>44</v>
      </c>
      <c r="D79" s="2" t="s">
        <v>45</v>
      </c>
      <c r="E79" s="2" t="s">
        <v>43</v>
      </c>
      <c r="F79" s="2" t="s">
        <v>22</v>
      </c>
      <c r="G79" s="2">
        <v>21</v>
      </c>
      <c r="H79" s="2" t="s">
        <v>23</v>
      </c>
      <c r="I79" s="2">
        <v>19</v>
      </c>
      <c r="J79" s="2">
        <v>18</v>
      </c>
      <c r="K79" s="2">
        <v>1</v>
      </c>
      <c r="L79" s="2">
        <v>7</v>
      </c>
      <c r="M79" s="2">
        <v>7.4</v>
      </c>
      <c r="N79" s="2">
        <v>0.4</v>
      </c>
      <c r="O79" s="3">
        <v>0.91100000000000003</v>
      </c>
      <c r="P79" s="3">
        <v>0.86099999999999999</v>
      </c>
      <c r="Q79" s="3">
        <v>0.89100000000000001</v>
      </c>
      <c r="R79" s="2" t="s">
        <v>50</v>
      </c>
    </row>
    <row r="80" spans="1:18" ht="14.4">
      <c r="A80" s="1">
        <v>46199</v>
      </c>
      <c r="B80" s="2" t="s">
        <v>79</v>
      </c>
      <c r="C80" s="2" t="s">
        <v>47</v>
      </c>
      <c r="D80" s="2" t="s">
        <v>48</v>
      </c>
      <c r="E80" s="2" t="s">
        <v>49</v>
      </c>
      <c r="F80" s="2" t="s">
        <v>38</v>
      </c>
      <c r="G80" s="2">
        <v>22</v>
      </c>
      <c r="H80" s="2" t="s">
        <v>23</v>
      </c>
      <c r="I80" s="2">
        <v>10</v>
      </c>
      <c r="J80" s="2">
        <v>8</v>
      </c>
      <c r="K80" s="2">
        <v>2</v>
      </c>
      <c r="L80" s="2">
        <v>7</v>
      </c>
      <c r="M80" s="2">
        <v>6.4</v>
      </c>
      <c r="N80" s="2">
        <v>0</v>
      </c>
      <c r="O80" s="3">
        <v>0.78100000000000003</v>
      </c>
      <c r="P80" s="3">
        <v>0.69499999999999995</v>
      </c>
      <c r="Q80" s="3">
        <v>0.747</v>
      </c>
      <c r="R80" s="2" t="s">
        <v>74</v>
      </c>
    </row>
    <row r="81" spans="1:18" ht="14.4">
      <c r="A81" s="1">
        <v>46201</v>
      </c>
      <c r="B81" s="2" t="s">
        <v>79</v>
      </c>
      <c r="C81" s="2" t="s">
        <v>51</v>
      </c>
      <c r="D81" s="2" t="s">
        <v>52</v>
      </c>
      <c r="E81" s="2" t="s">
        <v>49</v>
      </c>
      <c r="F81" s="2" t="s">
        <v>32</v>
      </c>
      <c r="G81" s="2">
        <v>20</v>
      </c>
      <c r="H81" s="2" t="s">
        <v>23</v>
      </c>
      <c r="I81" s="2">
        <v>14</v>
      </c>
      <c r="J81" s="2">
        <v>14</v>
      </c>
      <c r="K81" s="2">
        <v>0</v>
      </c>
      <c r="L81" s="2">
        <v>8</v>
      </c>
      <c r="M81" s="2">
        <v>8.6</v>
      </c>
      <c r="N81" s="2">
        <v>0.6</v>
      </c>
      <c r="O81" s="3">
        <v>1</v>
      </c>
      <c r="P81" s="3">
        <v>0.97099999999999997</v>
      </c>
      <c r="Q81" s="3">
        <v>0.98799999999999999</v>
      </c>
      <c r="R81" s="2" t="s">
        <v>24</v>
      </c>
    </row>
    <row r="82" spans="1:18" ht="14.4">
      <c r="A82" s="1">
        <v>46203</v>
      </c>
      <c r="B82" s="2" t="s">
        <v>79</v>
      </c>
      <c r="C82" s="2" t="s">
        <v>72</v>
      </c>
      <c r="D82" s="2" t="s">
        <v>73</v>
      </c>
      <c r="E82" s="2" t="s">
        <v>55</v>
      </c>
      <c r="F82" s="2" t="s">
        <v>27</v>
      </c>
      <c r="G82" s="2">
        <v>20</v>
      </c>
      <c r="H82" s="2" t="s">
        <v>23</v>
      </c>
      <c r="I82" s="2">
        <v>14</v>
      </c>
      <c r="J82" s="2">
        <v>17</v>
      </c>
      <c r="K82" s="2">
        <v>0</v>
      </c>
      <c r="L82" s="2">
        <v>9</v>
      </c>
      <c r="M82" s="2">
        <v>9.1</v>
      </c>
      <c r="N82" s="2">
        <v>0.1</v>
      </c>
      <c r="O82" s="3">
        <v>1</v>
      </c>
      <c r="P82" s="3">
        <v>0.88400000000000001</v>
      </c>
      <c r="Q82" s="3">
        <v>0.95399999999999996</v>
      </c>
      <c r="R82" s="2" t="s">
        <v>24</v>
      </c>
    </row>
    <row r="83" spans="1:18" ht="14.4">
      <c r="A83" s="1">
        <v>46205</v>
      </c>
      <c r="B83" s="2" t="s">
        <v>80</v>
      </c>
      <c r="C83" s="2" t="s">
        <v>53</v>
      </c>
      <c r="D83" s="2" t="s">
        <v>54</v>
      </c>
      <c r="E83" s="2" t="s">
        <v>55</v>
      </c>
      <c r="F83" s="2" t="s">
        <v>22</v>
      </c>
      <c r="G83" s="2">
        <v>22</v>
      </c>
      <c r="H83" s="2" t="s">
        <v>23</v>
      </c>
      <c r="I83" s="2">
        <v>15</v>
      </c>
      <c r="J83" s="2">
        <v>12</v>
      </c>
      <c r="K83" s="2">
        <v>3</v>
      </c>
      <c r="L83" s="2">
        <v>8</v>
      </c>
      <c r="M83" s="2">
        <v>9.1</v>
      </c>
      <c r="N83" s="2">
        <v>1.1000000000000001</v>
      </c>
      <c r="O83" s="3">
        <v>0.76800000000000002</v>
      </c>
      <c r="P83" s="3">
        <v>0.73399999999999999</v>
      </c>
      <c r="Q83" s="3">
        <v>0.754</v>
      </c>
      <c r="R83" s="2" t="s">
        <v>50</v>
      </c>
    </row>
    <row r="84" spans="1:18" ht="14.4">
      <c r="A84" s="1">
        <v>46209</v>
      </c>
      <c r="B84" s="2" t="s">
        <v>80</v>
      </c>
      <c r="C84" s="2" t="s">
        <v>58</v>
      </c>
      <c r="D84" s="2" t="s">
        <v>59</v>
      </c>
      <c r="E84" s="2" t="s">
        <v>31</v>
      </c>
      <c r="F84" s="2" t="s">
        <v>27</v>
      </c>
      <c r="G84" s="2">
        <v>21</v>
      </c>
      <c r="H84" s="2" t="s">
        <v>23</v>
      </c>
      <c r="I84" s="2">
        <v>12</v>
      </c>
      <c r="J84" s="2">
        <v>12</v>
      </c>
      <c r="K84" s="2">
        <v>0</v>
      </c>
      <c r="L84" s="2">
        <v>8</v>
      </c>
      <c r="M84" s="2">
        <v>7.6</v>
      </c>
      <c r="N84" s="2">
        <v>0</v>
      </c>
      <c r="O84" s="3">
        <v>0.92500000000000004</v>
      </c>
      <c r="P84" s="3">
        <v>0.879</v>
      </c>
      <c r="Q84" s="3">
        <v>0.90700000000000003</v>
      </c>
      <c r="R84" s="2" t="s">
        <v>24</v>
      </c>
    </row>
    <row r="85" spans="1:18" ht="14.4">
      <c r="A85" s="1">
        <v>46211</v>
      </c>
      <c r="B85" s="2" t="s">
        <v>80</v>
      </c>
      <c r="C85" s="2" t="s">
        <v>60</v>
      </c>
      <c r="D85" s="2" t="s">
        <v>61</v>
      </c>
      <c r="E85" s="2" t="s">
        <v>37</v>
      </c>
      <c r="F85" s="2" t="s">
        <v>32</v>
      </c>
      <c r="G85" s="2">
        <v>22</v>
      </c>
      <c r="H85" s="2" t="s">
        <v>23</v>
      </c>
      <c r="I85" s="2">
        <v>19</v>
      </c>
      <c r="J85" s="2">
        <v>17</v>
      </c>
      <c r="K85" s="2">
        <v>2</v>
      </c>
      <c r="L85" s="2">
        <v>8</v>
      </c>
      <c r="M85" s="2">
        <v>7.6</v>
      </c>
      <c r="N85" s="2">
        <v>0</v>
      </c>
      <c r="O85" s="3">
        <v>0.96199999999999997</v>
      </c>
      <c r="P85" s="3">
        <v>1</v>
      </c>
      <c r="Q85" s="3">
        <v>0.97699999999999998</v>
      </c>
      <c r="R85" s="2" t="s">
        <v>24</v>
      </c>
    </row>
    <row r="86" spans="1:18" ht="14.4">
      <c r="A86" s="1">
        <v>46213</v>
      </c>
      <c r="B86" s="2" t="s">
        <v>80</v>
      </c>
      <c r="C86" s="2" t="s">
        <v>62</v>
      </c>
      <c r="D86" s="2" t="s">
        <v>63</v>
      </c>
      <c r="E86" s="2" t="s">
        <v>43</v>
      </c>
      <c r="F86" s="2" t="s">
        <v>38</v>
      </c>
      <c r="G86" s="2">
        <v>22</v>
      </c>
      <c r="H86" s="2" t="s">
        <v>23</v>
      </c>
      <c r="I86" s="2">
        <v>14</v>
      </c>
      <c r="J86" s="2">
        <v>15</v>
      </c>
      <c r="K86" s="2">
        <v>30</v>
      </c>
      <c r="L86" s="2">
        <v>9</v>
      </c>
      <c r="M86" s="2">
        <v>7.4</v>
      </c>
      <c r="N86" s="2">
        <v>0</v>
      </c>
      <c r="O86" s="3">
        <v>1</v>
      </c>
      <c r="P86" s="3">
        <v>0.89800000000000002</v>
      </c>
      <c r="Q86" s="3">
        <v>0.95899999999999996</v>
      </c>
      <c r="R86" s="2" t="s">
        <v>24</v>
      </c>
    </row>
    <row r="87" spans="1:18" ht="14.4">
      <c r="A87" s="1">
        <v>46215</v>
      </c>
      <c r="B87" s="2" t="s">
        <v>80</v>
      </c>
      <c r="C87" s="2" t="s">
        <v>65</v>
      </c>
      <c r="D87" s="2" t="s">
        <v>66</v>
      </c>
      <c r="E87" s="2" t="s">
        <v>49</v>
      </c>
      <c r="F87" s="2" t="s">
        <v>22</v>
      </c>
      <c r="G87" s="2">
        <v>21</v>
      </c>
      <c r="H87" s="2" t="s">
        <v>23</v>
      </c>
      <c r="I87" s="2">
        <v>15</v>
      </c>
      <c r="J87" s="2">
        <v>13</v>
      </c>
      <c r="K87" s="2">
        <v>2</v>
      </c>
      <c r="L87" s="2">
        <v>7</v>
      </c>
      <c r="M87" s="2">
        <v>7.3</v>
      </c>
      <c r="N87" s="2">
        <v>0.3</v>
      </c>
      <c r="O87" s="3">
        <v>0.82799999999999996</v>
      </c>
      <c r="P87" s="3">
        <v>0.78</v>
      </c>
      <c r="Q87" s="3">
        <v>0.80900000000000005</v>
      </c>
      <c r="R87" s="2" t="s">
        <v>50</v>
      </c>
    </row>
    <row r="88" spans="1:18" ht="14.4">
      <c r="A88" s="1">
        <v>46217</v>
      </c>
      <c r="B88" s="2" t="s">
        <v>80</v>
      </c>
      <c r="C88" s="2" t="s">
        <v>67</v>
      </c>
      <c r="D88" s="2" t="s">
        <v>68</v>
      </c>
      <c r="E88" s="2" t="s">
        <v>55</v>
      </c>
      <c r="F88" s="2" t="s">
        <v>32</v>
      </c>
      <c r="G88" s="2">
        <v>21</v>
      </c>
      <c r="H88" s="2" t="s">
        <v>23</v>
      </c>
      <c r="I88" s="2">
        <v>13</v>
      </c>
      <c r="J88" s="2">
        <v>16</v>
      </c>
      <c r="K88" s="2">
        <v>0</v>
      </c>
      <c r="L88" s="2">
        <v>8</v>
      </c>
      <c r="M88" s="2">
        <v>8.3000000000000007</v>
      </c>
      <c r="N88" s="2">
        <v>0.3</v>
      </c>
      <c r="O88" s="3">
        <v>1</v>
      </c>
      <c r="P88" s="3">
        <v>1</v>
      </c>
      <c r="Q88" s="3">
        <v>1</v>
      </c>
      <c r="R88" s="2" t="s">
        <v>24</v>
      </c>
    </row>
    <row r="89" spans="1:18" ht="14.4">
      <c r="A89" s="1">
        <v>46219</v>
      </c>
      <c r="B89" s="2" t="s">
        <v>80</v>
      </c>
      <c r="C89" s="2" t="s">
        <v>76</v>
      </c>
      <c r="D89" s="2" t="s">
        <v>77</v>
      </c>
      <c r="E89" s="2" t="s">
        <v>21</v>
      </c>
      <c r="F89" s="2" t="s">
        <v>27</v>
      </c>
      <c r="G89" s="2">
        <v>21</v>
      </c>
      <c r="H89" s="2" t="s">
        <v>23</v>
      </c>
      <c r="I89" s="2">
        <v>9</v>
      </c>
      <c r="J89" s="2">
        <v>9</v>
      </c>
      <c r="K89" s="2">
        <v>0</v>
      </c>
      <c r="L89" s="2">
        <v>7</v>
      </c>
      <c r="M89" s="2">
        <v>7</v>
      </c>
      <c r="N89" s="2">
        <v>0</v>
      </c>
      <c r="O89" s="3">
        <v>1</v>
      </c>
      <c r="P89" s="3">
        <v>0.89100000000000001</v>
      </c>
      <c r="Q89" s="3">
        <v>0.95599999999999996</v>
      </c>
      <c r="R89" s="2" t="s">
        <v>24</v>
      </c>
    </row>
    <row r="90" spans="1:18" ht="14.4">
      <c r="A90" s="4">
        <v>46221</v>
      </c>
      <c r="B90" s="5" t="s">
        <v>80</v>
      </c>
      <c r="C90" s="5" t="s">
        <v>69</v>
      </c>
      <c r="D90" s="5" t="s">
        <v>70</v>
      </c>
      <c r="E90" s="5" t="s">
        <v>31</v>
      </c>
      <c r="F90" s="5" t="s">
        <v>38</v>
      </c>
      <c r="G90" s="5">
        <v>21</v>
      </c>
      <c r="H90" s="5" t="s">
        <v>23</v>
      </c>
      <c r="I90" s="5">
        <v>18</v>
      </c>
      <c r="J90" s="5">
        <v>15</v>
      </c>
      <c r="K90" s="5">
        <v>3</v>
      </c>
      <c r="L90" s="5">
        <v>9</v>
      </c>
      <c r="M90" s="5">
        <v>8.6999999999999993</v>
      </c>
      <c r="N90" s="5">
        <v>0</v>
      </c>
      <c r="O90" s="6">
        <v>0.76</v>
      </c>
      <c r="P90" s="6">
        <v>0.64700000000000002</v>
      </c>
      <c r="Q90" s="6">
        <v>0.71499999999999997</v>
      </c>
      <c r="R90" s="5" t="s">
        <v>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ARWD Zoysa</cp:lastModifiedBy>
  <dcterms:created xsi:type="dcterms:W3CDTF">2026-09-09T09:25:33Z</dcterms:created>
  <dcterms:modified xsi:type="dcterms:W3CDTF">2026-09-27T02:18:46Z</dcterms:modified>
</cp:coreProperties>
</file>